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18" l="1"/>
  <c r="B20" i="18"/>
  <c r="B27" i="18"/>
  <c r="B32" i="18"/>
  <c r="B42" i="18" s="1"/>
  <c r="B43" i="18" s="1"/>
  <c r="B34" i="18"/>
  <c r="B36" i="18"/>
  <c r="B46" i="18"/>
  <c r="B47" i="18"/>
  <c r="B48" i="18"/>
  <c r="B49" i="18"/>
  <c r="B52" i="18"/>
  <c r="B29" i="18" l="1"/>
  <c r="B28" i="18" s="1"/>
  <c r="D22" i="18"/>
  <c r="B23" i="18" l="1"/>
  <c r="E26" i="18"/>
  <c r="B24" i="18" l="1"/>
  <c r="B25" i="18"/>
  <c r="B26" i="18" s="1"/>
  <c r="B2" i="18"/>
  <c r="B3" i="18" l="1"/>
  <c r="E29" i="18"/>
  <c r="E28" i="18"/>
  <c r="B4" i="18"/>
  <c r="B8" i="18"/>
  <c r="B41" i="18" s="1"/>
  <c r="B5" i="18"/>
  <c r="B6" i="18"/>
  <c r="D25" i="18" l="1"/>
  <c r="D23" i="18"/>
  <c r="D36" i="18"/>
  <c r="D37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<sst xmlns="http://schemas.openxmlformats.org/spreadsheetml/2006/main" count="413" uniqueCount="154">
  <si>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</si>
  <si>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</si>
  <si>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</si>
  <si>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</si>
  <si>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</si>
  <si>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</si>
  <si>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</si>
  <si>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</si>
  <si>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</si>
  <si>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</si>
  <si>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</si>
  <si>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</si>
  <si>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</si>
  <si>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</si>
  <si>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</si>
  <si>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</si>
  <si>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</si>
  <si>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</si>
  <si>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</si>
  <si>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</si>
  <si>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</si>
  <si>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</si>
  <si>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</si>
  <si>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</si>
  <si>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</si>
  <si>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</si>
  <si>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</si>
  <si>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</si>
  <si>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</si>
  <si>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</si>
  <si>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</si>
  <si>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</si>
  <si>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</si>
  <si>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</si>
  <si>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</si>
  <si>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</si>
  <si>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</si>
  <si>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</si>
  <si>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</si>
  <si>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</si>
  <si>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</si>
  <si>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</si>
  <si>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</si>
  <si>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</si>
  <si>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</si>
  <si>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</si>
  <si>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</si>
  <si>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</si>
  <si>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</si>
  <si>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</si>
  <si>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</si>
  <si>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</si>
  <si>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</si>
  <si>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</si>
  <si>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</si>
  <si>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</si>
  <si>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</si>
  <si>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</si>
  <si>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</si>
  <si>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</si>
  <si>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</si>
  <si>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</si>
  <si>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</si>
  <si>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</si>
  <si>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</si>
  <si>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</si>
  <si>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</si>
  <si>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</si>
  <si>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</si>
  <si>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</si>
  <si>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</si>
  <si>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</si>
  <si>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</si>
  <si>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</si>
  <si>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</si>
  <si>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</si>
  <si>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</si>
  <si>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</si>
  <si>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</si>
  <si>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</si>
  <si>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</si>
  <si>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</si>
  <si>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</si>
  <si>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</si>
  <si>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</si>
  <si>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</si>
  <si>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</si>
  <si>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</si>
  <si>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</si>
  <si>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</si>
  <si>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</si>
  <si>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</si>
  <si>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</si>
  <si>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</si>
  <si>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</si>
  <si>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</si>
  <si>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</si>
  <si>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</si>
  <si>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</si>
  <si>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</si>
  <si>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</si>
  <si>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</si>
  <si>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</si>
  <si>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</si>
  <si>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</si>
  <si>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</si>
  <si>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</si>
  <si>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</si>
  <si>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</si>
  <si>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</si>
  <si>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</si>
  <si>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</si>
  <si>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</si>
  <si>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</si>
  <si>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</si>
  <si>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</si>
  <si>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</si>
  <si>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</si>
  <si>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</si>
  <si>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</si>
  <si>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</si>
  <si>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</si>
  <si>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</si>
  <si>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</si>
  <si>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</si>
  <si>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</si>
  <si>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</si>
  <si>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</si>
  <si>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</si>
  <si>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</si>
  <si>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</si>
  <si>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</si>
  <si>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</si>
  <si>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</si>
  <si>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</si>
  <si>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</si>
  <si>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</si>
  <si>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</si>
  <si>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</si>
  <si>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</si>
  <si>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</si>
  <si>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</si>
  <si>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</si>
  <si>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</si>
  <si>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</si>
  <si>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</si>
  <si>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</si>
  <si>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</si>
  <si>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</si>
  <si>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</si>
  <si>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</si>
  <si>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</si>
  <si>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FIN - Pitch/Yaw moment</t>
  </si>
  <si>
    <t>PROP - Pitch/Yaw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</si>
</sst>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7" sqref="B17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"/>
  <sheetViews>
    <sheetView tabSelected="1" topLeftCell="A10" workbookViewId="0">
      <selection activeCell="C29" sqref="C29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112</v>
      </c>
    </row>
    <row r="3" spans="1:4" x14ac:dyDescent="0.55000000000000004">
      <c r="A3" s="1" t="s">
        <v>75</v>
      </c>
      <c r="B3">
        <f>B32</f>
        <v>2.1374999999999998E-2</v>
      </c>
      <c r="C3" t="s">
        <v>74</v>
      </c>
      <c r="D3" t="s">
        <v>112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113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111</v>
      </c>
    </row>
    <row r="12" spans="1:4" x14ac:dyDescent="0.55000000000000004">
      <c r="A12" t="s">
        <v>99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100</v>
      </c>
      <c r="B13">
        <v>288.14999999999998</v>
      </c>
      <c r="C13" t="s">
        <v>114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111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111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13</v>
      </c>
      <c r="C19" t="s">
        <v>94</v>
      </c>
      <c r="D19" t="s">
        <v>149</v>
      </c>
    </row>
    <row r="20" spans="1:5" x14ac:dyDescent="0.55000000000000004">
      <c r="A20" t="s">
        <v>96</v>
      </c>
      <c r="B20">
        <f>(ATAN(PARAMETERS!C9/PARAMETERS!C6)+PI()/2)*(180/PI())</f>
        <v>157.55724663470565</v>
      </c>
      <c r="C20" t="s">
        <v>39</v>
      </c>
      <c r="D20" t="s">
        <v>97</v>
      </c>
    </row>
    <row r="21" spans="1:5" x14ac:dyDescent="0.55000000000000004">
      <c r="A21" t="s">
        <v>98</v>
      </c>
      <c r="B21">
        <v>1243</v>
      </c>
      <c r="C21" t="s">
        <v>77</v>
      </c>
    </row>
    <row r="22" spans="1:5" x14ac:dyDescent="0.55000000000000004">
      <c r="A22" t="s">
        <v>101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102</v>
      </c>
      <c r="B23">
        <f>B36-B29</f>
        <v>26.126972999999992</v>
      </c>
      <c r="C23" t="s">
        <v>103</v>
      </c>
      <c r="D23">
        <f>B23/9.81</f>
        <v>2.6632999999999991</v>
      </c>
      <c r="E23" t="s">
        <v>109</v>
      </c>
    </row>
    <row r="24" spans="1:5" x14ac:dyDescent="0.55000000000000004">
      <c r="A24" t="s">
        <v>145</v>
      </c>
      <c r="B24">
        <f>B23/9.81</f>
        <v>2.6632999999999991</v>
      </c>
      <c r="C24" t="s">
        <v>109</v>
      </c>
    </row>
    <row r="25" spans="1:5" x14ac:dyDescent="0.55000000000000004">
      <c r="A25" t="s">
        <v>104</v>
      </c>
      <c r="B25">
        <f>B23-B34</f>
        <v>0</v>
      </c>
      <c r="C25" t="s">
        <v>103</v>
      </c>
      <c r="D25">
        <f>B25/9.81</f>
        <v>0</v>
      </c>
      <c r="E25" t="s">
        <v>109</v>
      </c>
    </row>
    <row r="26" spans="1:5" x14ac:dyDescent="0.55000000000000004">
      <c r="A26" t="s">
        <v>105</v>
      </c>
      <c r="B26">
        <f>(B23-B25)/B38/9.81</f>
        <v>0.83567618449952918</v>
      </c>
      <c r="C26" t="s">
        <v>106</v>
      </c>
      <c r="E26">
        <f>B35/B38</f>
        <v>0.83567618449952941</v>
      </c>
    </row>
    <row r="27" spans="1:5" x14ac:dyDescent="0.55000000000000004">
      <c r="A27" t="s">
        <v>122</v>
      </c>
      <c r="B27">
        <f>B35*9.81/B38</f>
        <v>8.197983369940383</v>
      </c>
      <c r="C27" t="s">
        <v>124</v>
      </c>
      <c r="D27" t="s">
        <v>123</v>
      </c>
    </row>
    <row r="28" spans="1:5" x14ac:dyDescent="0.55000000000000004">
      <c r="A28" t="s">
        <v>107</v>
      </c>
      <c r="B28">
        <f>B29/9.81</f>
        <v>14.835699999999999</v>
      </c>
      <c r="C28" t="s">
        <v>109</v>
      </c>
      <c r="E28">
        <f>(B36-B34)/9.81</f>
        <v>14.835699999999999</v>
      </c>
    </row>
    <row r="29" spans="1:5" x14ac:dyDescent="0.55000000000000004">
      <c r="A29" t="s">
        <v>108</v>
      </c>
      <c r="B29">
        <f>B36-B34</f>
        <v>145.538217</v>
      </c>
      <c r="C29" t="s">
        <v>103</v>
      </c>
      <c r="E29">
        <f>(B36-B34)</f>
        <v>145.538217</v>
      </c>
    </row>
    <row r="30" spans="1:5" x14ac:dyDescent="0.55000000000000004">
      <c r="A30" t="s">
        <v>146</v>
      </c>
      <c r="B30">
        <v>1.4858</v>
      </c>
      <c r="C30" t="s">
        <v>77</v>
      </c>
    </row>
    <row r="31" spans="1:5" x14ac:dyDescent="0.55000000000000004">
      <c r="A31" t="s">
        <v>150</v>
      </c>
      <c r="B31">
        <v>11.6</v>
      </c>
      <c r="C31" t="s">
        <v>94</v>
      </c>
      <c r="D31" t="s">
        <v>151</v>
      </c>
    </row>
    <row r="32" spans="1:5" x14ac:dyDescent="0.55000000000000004">
      <c r="A32" t="s">
        <v>110</v>
      </c>
      <c r="B32">
        <f>(PARAMETERS!C7/1000+PARAMETERS!C8/1000)/2*PARAMETERS!C6/1000</f>
        <v>2.1374999999999998E-2</v>
      </c>
      <c r="C32" t="s">
        <v>74</v>
      </c>
    </row>
    <row r="33" spans="1:4" x14ac:dyDescent="0.55000000000000004">
      <c r="A33" s="26" t="s">
        <v>115</v>
      </c>
      <c r="B33" s="26">
        <v>0.01</v>
      </c>
      <c r="C33" s="26" t="s">
        <v>74</v>
      </c>
      <c r="D33" s="26" t="s">
        <v>139</v>
      </c>
    </row>
    <row r="34" spans="1:4" x14ac:dyDescent="0.55000000000000004">
      <c r="A34" t="s">
        <v>116</v>
      </c>
      <c r="B34">
        <f>B35*9.81</f>
        <v>26.126973</v>
      </c>
      <c r="C34" t="s">
        <v>103</v>
      </c>
    </row>
    <row r="35" spans="1:4" x14ac:dyDescent="0.55000000000000004">
      <c r="A35" t="s">
        <v>118</v>
      </c>
      <c r="B35">
        <v>2.6633</v>
      </c>
      <c r="C35" t="s">
        <v>109</v>
      </c>
    </row>
    <row r="36" spans="1:4" x14ac:dyDescent="0.55000000000000004">
      <c r="A36" t="s">
        <v>117</v>
      </c>
      <c r="B36">
        <f>B37*9.81</f>
        <v>171.66519</v>
      </c>
      <c r="C36" t="s">
        <v>103</v>
      </c>
      <c r="D36">
        <f>B23+B29</f>
        <v>171.66519</v>
      </c>
    </row>
    <row r="37" spans="1:4" x14ac:dyDescent="0.55000000000000004">
      <c r="A37" t="s">
        <v>119</v>
      </c>
      <c r="B37">
        <v>17.498999999999999</v>
      </c>
      <c r="C37" t="s">
        <v>109</v>
      </c>
      <c r="D37">
        <f>(B23+B29)/9.81</f>
        <v>17.498999999999999</v>
      </c>
    </row>
    <row r="38" spans="1:4" x14ac:dyDescent="0.55000000000000004">
      <c r="A38" t="s">
        <v>121</v>
      </c>
      <c r="B38">
        <v>3.1869999999999998</v>
      </c>
      <c r="C38" t="s">
        <v>120</v>
      </c>
    </row>
    <row r="39" spans="1:4" x14ac:dyDescent="0.55000000000000004">
      <c r="A39" s="26" t="s">
        <v>129</v>
      </c>
      <c r="B39" s="26">
        <v>1</v>
      </c>
      <c r="C39" s="26"/>
      <c r="D39" s="26" t="s">
        <v>130</v>
      </c>
    </row>
    <row r="40" spans="1:4" x14ac:dyDescent="0.55000000000000004">
      <c r="A40" s="26" t="s">
        <v>128</v>
      </c>
      <c r="B40" s="26">
        <v>1</v>
      </c>
      <c r="C40" s="26"/>
      <c r="D40" s="26" t="s">
        <v>130</v>
      </c>
    </row>
    <row r="41" spans="1:4" x14ac:dyDescent="0.55000000000000004">
      <c r="A41" t="s">
        <v>125</v>
      </c>
      <c r="B41">
        <f>2*B8+B9</f>
        <v>0.29299999999999998</v>
      </c>
      <c r="C41" t="s">
        <v>77</v>
      </c>
      <c r="D41" t="s">
        <v>132</v>
      </c>
    </row>
    <row r="42" spans="1:4" x14ac:dyDescent="0.55000000000000004">
      <c r="A42" s="26" t="s">
        <v>126</v>
      </c>
      <c r="B42" s="26">
        <f>B32</f>
        <v>2.1374999999999998E-2</v>
      </c>
      <c r="C42" s="26" t="s">
        <v>74</v>
      </c>
      <c r="D42" s="26" t="s">
        <v>131</v>
      </c>
    </row>
    <row r="43" spans="1:4" x14ac:dyDescent="0.55000000000000004">
      <c r="A43" s="26" t="s">
        <v>127</v>
      </c>
      <c r="B43" s="26">
        <f>B42</f>
        <v>2.1374999999999998E-2</v>
      </c>
      <c r="C43" s="26" t="s">
        <v>74</v>
      </c>
      <c r="D43" s="26" t="s">
        <v>139</v>
      </c>
    </row>
    <row r="44" spans="1:4" x14ac:dyDescent="0.55000000000000004">
      <c r="A44" s="26" t="s">
        <v>133</v>
      </c>
      <c r="B44" s="26">
        <v>1</v>
      </c>
      <c r="C44" s="26" t="s">
        <v>77</v>
      </c>
      <c r="D44" s="26" t="s">
        <v>139</v>
      </c>
    </row>
    <row r="45" spans="1:4" x14ac:dyDescent="0.55000000000000004">
      <c r="A45" s="26" t="s">
        <v>134</v>
      </c>
      <c r="B45" s="26">
        <v>1</v>
      </c>
      <c r="C45" s="26" t="s">
        <v>77</v>
      </c>
      <c r="D45" s="26" t="s">
        <v>139</v>
      </c>
    </row>
    <row r="46" spans="1:4" x14ac:dyDescent="0.55000000000000004">
      <c r="A46" s="26" t="s">
        <v>135</v>
      </c>
      <c r="B46" s="26">
        <f>PARAMETERS!C7*0.001</f>
        <v>0.35000000000000003</v>
      </c>
      <c r="C46" s="26" t="s">
        <v>77</v>
      </c>
      <c r="D46" s="26" t="s">
        <v>130</v>
      </c>
    </row>
    <row r="47" spans="1:4" x14ac:dyDescent="0.55000000000000004">
      <c r="A47" s="26" t="s">
        <v>136</v>
      </c>
      <c r="B47" s="26">
        <f>PARAMETERS!C8*0.001</f>
        <v>0.1</v>
      </c>
      <c r="C47" s="26" t="s">
        <v>77</v>
      </c>
      <c r="D47" s="26" t="s">
        <v>130</v>
      </c>
    </row>
    <row r="48" spans="1:4" x14ac:dyDescent="0.55000000000000004">
      <c r="A48" s="26" t="s">
        <v>137</v>
      </c>
      <c r="B48" s="26">
        <f>B9*B11</f>
        <v>0.26573999999999998</v>
      </c>
      <c r="C48" s="26" t="s">
        <v>74</v>
      </c>
      <c r="D48" s="26" t="s">
        <v>139</v>
      </c>
    </row>
    <row r="49" spans="1:4" x14ac:dyDescent="0.55000000000000004">
      <c r="A49" s="26" t="s">
        <v>138</v>
      </c>
      <c r="B49" s="26">
        <f>B11</f>
        <v>2.58</v>
      </c>
      <c r="C49" s="26" t="s">
        <v>77</v>
      </c>
      <c r="D49" s="26" t="s">
        <v>139</v>
      </c>
    </row>
    <row r="50" spans="1:4" x14ac:dyDescent="0.55000000000000004">
      <c r="A50" s="1" t="s">
        <v>140</v>
      </c>
      <c r="B50" s="1">
        <v>0.621</v>
      </c>
      <c r="C50" s="1" t="s">
        <v>77</v>
      </c>
      <c r="D50" s="1"/>
    </row>
    <row r="51" spans="1:4" x14ac:dyDescent="0.55000000000000004">
      <c r="A51" s="1" t="s">
        <v>141</v>
      </c>
      <c r="B51" s="1">
        <f>B52+(B11-B50)</f>
        <v>2.2694999999999999</v>
      </c>
      <c r="C51" s="1" t="s">
        <v>77</v>
      </c>
      <c r="D51" s="1" t="s">
        <v>148</v>
      </c>
    </row>
    <row r="52" spans="1:4" x14ac:dyDescent="0.55000000000000004">
      <c r="A52" s="1" t="s">
        <v>147</v>
      </c>
      <c r="B52" s="1">
        <f>B50/2</f>
        <v>0.3105</v>
      </c>
      <c r="C52" s="1" t="s">
        <v>77</v>
      </c>
      <c r="D52" s="1" t="s">
        <v>142</v>
      </c>
    </row>
    <row r="53" spans="1:4" x14ac:dyDescent="0.55000000000000004">
      <c r="A53" s="26" t="s">
        <v>143</v>
      </c>
      <c r="B53">
        <v>0</v>
      </c>
      <c r="C53" s="26" t="s">
        <v>39</v>
      </c>
      <c r="D53" s="26" t="s">
        <v>144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2016-01-14T04:07:13Z</dcterms:modified>
</cp:coreProperties>
</file>