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25200" windowHeight="11988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18" l="1"/>
  <c r="E25" i="18"/>
  <c r="B33" i="18"/>
  <c r="B31" i="18"/>
  <c r="B28" i="18" l="1"/>
  <c r="B2" i="18"/>
  <c r="B29" i="18"/>
  <c r="B3" i="18" s="1"/>
  <c r="B23" i="18" l="1"/>
  <c r="B27" i="18"/>
  <c r="E28" i="18"/>
  <c r="E27" i="18"/>
  <c r="B4" i="18"/>
  <c r="B20" i="18"/>
  <c r="B8" i="18"/>
  <c r="B5" i="18"/>
  <c r="B6" i="18"/>
  <c r="B24" i="18" l="1"/>
  <c r="D24" i="18" s="1"/>
  <c r="D23" i="18"/>
  <c r="D33" i="18"/>
  <c r="D34" i="18"/>
  <c r="B25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<sst xmlns="http://schemas.openxmlformats.org/spreadsheetml/2006/main" count="228" uniqueCount="127">
  <si>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</si>
  <si>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</si>
  <si>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</si>
  <si>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</si>
  <si>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</si>
  <si>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</si>
  <si>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</si>
  <si>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</si>
  <si>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</si>
  <si>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</si>
  <si>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</si>
  <si>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</si>
  <si>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</si>
  <si>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</si>
  <si>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</si>
  <si>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</si>
  <si>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</si>
  <si>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</si>
  <si>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</si>
  <si>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</si>
  <si>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</si>
  <si>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</si>
  <si>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</si>
  <si>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</si>
  <si>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</si>
  <si>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</si>
  <si>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</si>
  <si>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</si>
  <si>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</si>
  <si>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</si>
  <si>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</si>
  <si>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</si>
  <si>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</si>
  <si>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</si>
  <si>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</si>
  <si>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</si>
  <si>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</si>
  <si>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</si>
  <si>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</si>
  <si>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</si>
  <si>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</si>
  <si>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</si>
  <si>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</si>
  <si>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</si>
  <si>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</si>
  <si>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</si>
  <si>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</si>
  <si>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</si>
  <si>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</si>
  <si>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</si>
  <si>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</si>
  <si>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</si>
  <si>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</si>
  <si>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</si>
  <si>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</si>
  <si>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</si>
  <si>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</si>
  <si>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</si>
  <si>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</si>
  <si>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</si>
  <si>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</si>
  <si>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</si>
  <si>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</si>
  <si>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</si>
  <si>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</si>
  <si>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</si>
  <si>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</si>
  <si>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</si>
  <si>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</si>
  <si>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</si>
  <si>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</si>
  <si>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</si>
  <si>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</si>
  <si>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</si>
  <si>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</si>
  <si>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</si>
  <si>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</si>
  <si>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</si>
  <si>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</si>
  <si>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</si>
  <si>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</si>
  <si>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</si>
  <si>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</si>
  <si>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</si>
  <si>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</si>
  <si>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</si>
  <si>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</si>
  <si>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</si>
  <si>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</si>
  <si>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</si>
  <si>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</si>
  <si>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</si>
  <si>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</si>
  <si>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</si>
  <si>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</si>
  <si>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Pitch/Yaw moment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</si>
  <si>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</si>
  <si>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</si>
  <si>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</si>
  <si>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</si>
  <si>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</si>
  <si>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</si>
  <si>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</si>
  <si>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</si>
  <si>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</si>
  <si>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</si>
  <si>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</si>
  <si>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</si>
  <si>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</si>
  <si>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</si>
  <si>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</si>
  <si>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</si>
  <si>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</si>
  <si>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</si>
  <si>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</si>
  <si>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</si>
  <si>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</si>
  <si>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totally a guess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</si>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</sst>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11" fontId="0" fillId="0" borderId="0" xfId="0" applyNumberFormat="1"/>
    <xf numFmtId="0" fontId="0" fillId="7" borderId="0" xfId="0" applyFill="1"/>
    <xf numFmtId="0" fontId="0" fillId="8" borderId="0" xfId="0" applyFill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C19" sqref="C1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350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230</v>
      </c>
      <c r="D9" s="3" t="s">
        <v>3</v>
      </c>
    </row>
    <row r="10" spans="1:7" x14ac:dyDescent="0.55000000000000004">
      <c r="B10" s="4" t="s">
        <v>64</v>
      </c>
      <c r="C10" s="3">
        <v>750</v>
      </c>
      <c r="D10" s="3" t="s">
        <v>3</v>
      </c>
    </row>
    <row r="11" spans="1:7" x14ac:dyDescent="0.55000000000000004">
      <c r="B11" s="4" t="s">
        <v>65</v>
      </c>
      <c r="C11" s="3">
        <v>350</v>
      </c>
      <c r="D11" s="3" t="s">
        <v>3</v>
      </c>
    </row>
    <row r="12" spans="1:7" x14ac:dyDescent="0.55000000000000004">
      <c r="B12" s="4" t="s">
        <v>66</v>
      </c>
      <c r="C12" s="3">
        <v>1260</v>
      </c>
      <c r="D12" s="3" t="s">
        <v>3</v>
      </c>
    </row>
    <row r="13" spans="1:7" x14ac:dyDescent="0.55000000000000004">
      <c r="B13" s="4" t="s">
        <v>67</v>
      </c>
      <c r="C13" s="3">
        <v>500</v>
      </c>
      <c r="D13" s="3" t="s">
        <v>3</v>
      </c>
    </row>
    <row r="14" spans="1:7" x14ac:dyDescent="0.55000000000000004">
      <c r="B14" s="4" t="s">
        <v>68</v>
      </c>
      <c r="C14" s="3">
        <v>100</v>
      </c>
      <c r="D14" s="3" t="s">
        <v>3</v>
      </c>
    </row>
    <row r="15" spans="1:7" x14ac:dyDescent="0.55000000000000004">
      <c r="B15" s="4" t="s">
        <v>70</v>
      </c>
      <c r="C15" s="3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A29" sqref="A29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96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5"/>
  <sheetViews>
    <sheetView tabSelected="1" topLeftCell="A13" workbookViewId="0">
      <selection activeCell="B30" sqref="B30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</cols>
  <sheetData>
    <row r="1" spans="1:4" x14ac:dyDescent="0.55000000000000004">
      <c r="A1" t="s">
        <v>71</v>
      </c>
      <c r="B1" t="s">
        <v>0</v>
      </c>
      <c r="C1" t="s">
        <v>72</v>
      </c>
      <c r="D1" t="s">
        <v>1</v>
      </c>
    </row>
    <row r="2" spans="1:4" x14ac:dyDescent="0.55000000000000004">
      <c r="A2" s="1" t="s">
        <v>73</v>
      </c>
      <c r="B2">
        <f>PARAMETERS!C6/1000*PARAMETERS!C5/1000</f>
        <v>3.0162499999999997E-4</v>
      </c>
      <c r="C2" t="s">
        <v>74</v>
      </c>
      <c r="D2" t="s">
        <v>113</v>
      </c>
    </row>
    <row r="3" spans="1:4" x14ac:dyDescent="0.55000000000000004">
      <c r="A3" s="1" t="s">
        <v>75</v>
      </c>
      <c r="B3">
        <f>B29</f>
        <v>2.1374999999999998E-2</v>
      </c>
      <c r="C3" t="s">
        <v>74</v>
      </c>
      <c r="D3" t="s">
        <v>113</v>
      </c>
    </row>
    <row r="4" spans="1:4" x14ac:dyDescent="0.55000000000000004">
      <c r="A4" s="1" t="s">
        <v>76</v>
      </c>
      <c r="B4">
        <f>PARAMETERS!C7*0.001</f>
        <v>0.35000000000000003</v>
      </c>
      <c r="C4" t="s">
        <v>77</v>
      </c>
      <c r="D4" t="s">
        <v>114</v>
      </c>
    </row>
    <row r="5" spans="1:4" x14ac:dyDescent="0.55000000000000004">
      <c r="A5" s="1" t="s">
        <v>78</v>
      </c>
      <c r="B5">
        <f>PARAMETERS!C4</f>
        <v>3</v>
      </c>
      <c r="C5" t="s">
        <v>79</v>
      </c>
    </row>
    <row r="6" spans="1:4" x14ac:dyDescent="0.55000000000000004">
      <c r="A6" s="1" t="s">
        <v>80</v>
      </c>
      <c r="B6">
        <f>PARAMETERS!C5*0.001</f>
        <v>3.1749999999999999E-3</v>
      </c>
      <c r="C6" t="s">
        <v>77</v>
      </c>
    </row>
    <row r="7" spans="1:4" x14ac:dyDescent="0.55000000000000004">
      <c r="A7" s="26" t="s">
        <v>81</v>
      </c>
      <c r="B7">
        <v>0.13100000000000001</v>
      </c>
      <c r="C7" t="s">
        <v>74</v>
      </c>
    </row>
    <row r="8" spans="1:4" x14ac:dyDescent="0.55000000000000004">
      <c r="A8" s="1" t="s">
        <v>82</v>
      </c>
      <c r="B8">
        <f>PARAMETERS!C6*0.001</f>
        <v>9.5000000000000001E-2</v>
      </c>
      <c r="C8" t="s">
        <v>77</v>
      </c>
    </row>
    <row r="9" spans="1:4" x14ac:dyDescent="0.55000000000000004">
      <c r="A9" s="26" t="s">
        <v>83</v>
      </c>
      <c r="B9">
        <v>0.10299999999999999</v>
      </c>
      <c r="C9" t="s">
        <v>77</v>
      </c>
    </row>
    <row r="10" spans="1:4" x14ac:dyDescent="0.55000000000000004">
      <c r="A10" s="27" t="s">
        <v>84</v>
      </c>
      <c r="B10" s="25">
        <v>2.0000000000000002E-5</v>
      </c>
      <c r="C10" t="s">
        <v>77</v>
      </c>
    </row>
    <row r="11" spans="1:4" x14ac:dyDescent="0.55000000000000004">
      <c r="A11" s="26" t="s">
        <v>85</v>
      </c>
      <c r="B11" s="26">
        <v>2.58</v>
      </c>
      <c r="C11" s="26" t="s">
        <v>77</v>
      </c>
      <c r="D11" s="26" t="s">
        <v>112</v>
      </c>
    </row>
    <row r="12" spans="1:4" x14ac:dyDescent="0.55000000000000004">
      <c r="A12" t="s">
        <v>100</v>
      </c>
      <c r="B12">
        <v>101325</v>
      </c>
      <c r="C12" t="s">
        <v>86</v>
      </c>
      <c r="D12">
        <v>101100</v>
      </c>
    </row>
    <row r="13" spans="1:4" x14ac:dyDescent="0.55000000000000004">
      <c r="A13" t="s">
        <v>101</v>
      </c>
      <c r="B13">
        <v>288.14999999999998</v>
      </c>
      <c r="C13" t="s">
        <v>115</v>
      </c>
      <c r="D13">
        <v>310.14999999999998</v>
      </c>
    </row>
    <row r="14" spans="1:4" x14ac:dyDescent="0.55000000000000004">
      <c r="A14" s="26" t="s">
        <v>87</v>
      </c>
      <c r="B14" s="26">
        <v>1.6</v>
      </c>
      <c r="C14" s="26" t="s">
        <v>77</v>
      </c>
      <c r="D14" s="26" t="s">
        <v>112</v>
      </c>
    </row>
    <row r="15" spans="1:4" x14ac:dyDescent="0.55000000000000004">
      <c r="A15" s="26" t="s">
        <v>88</v>
      </c>
      <c r="B15" s="26">
        <v>1.9</v>
      </c>
      <c r="C15" s="26" t="s">
        <v>77</v>
      </c>
      <c r="D15" s="26" t="s">
        <v>112</v>
      </c>
    </row>
    <row r="16" spans="1:4" x14ac:dyDescent="0.55000000000000004">
      <c r="A16" s="27" t="s">
        <v>89</v>
      </c>
      <c r="B16">
        <v>0.21</v>
      </c>
      <c r="C16" t="s">
        <v>90</v>
      </c>
    </row>
    <row r="17" spans="1:5" x14ac:dyDescent="0.55000000000000004">
      <c r="A17" t="s">
        <v>91</v>
      </c>
      <c r="B17">
        <v>1.61E-2</v>
      </c>
      <c r="C17" t="s">
        <v>77</v>
      </c>
    </row>
    <row r="18" spans="1:5" x14ac:dyDescent="0.55000000000000004">
      <c r="A18" t="s">
        <v>92</v>
      </c>
      <c r="B18">
        <v>0</v>
      </c>
      <c r="C18" t="s">
        <v>77</v>
      </c>
    </row>
    <row r="19" spans="1:5" x14ac:dyDescent="0.55000000000000004">
      <c r="A19" t="s">
        <v>93</v>
      </c>
      <c r="B19">
        <v>4.0805199999999999</v>
      </c>
      <c r="C19" t="s">
        <v>94</v>
      </c>
      <c r="D19" t="s">
        <v>95</v>
      </c>
    </row>
    <row r="20" spans="1:5" x14ac:dyDescent="0.55000000000000004">
      <c r="A20" t="s">
        <v>97</v>
      </c>
      <c r="B20">
        <f>(ATAN(PARAMETERS!C9/PARAMETERS!C6)+PI()/2)*(180/PI())</f>
        <v>157.55724663470565</v>
      </c>
      <c r="C20" t="s">
        <v>39</v>
      </c>
      <c r="D20" t="s">
        <v>98</v>
      </c>
    </row>
    <row r="21" spans="1:5" x14ac:dyDescent="0.55000000000000004">
      <c r="A21" t="s">
        <v>99</v>
      </c>
      <c r="B21">
        <v>1243</v>
      </c>
      <c r="C21" t="s">
        <v>77</v>
      </c>
    </row>
    <row r="22" spans="1:5" x14ac:dyDescent="0.55000000000000004">
      <c r="A22" t="s">
        <v>102</v>
      </c>
      <c r="B22">
        <v>0.6</v>
      </c>
      <c r="C22" t="s">
        <v>77</v>
      </c>
    </row>
    <row r="23" spans="1:5" x14ac:dyDescent="0.55000000000000004">
      <c r="A23" t="s">
        <v>103</v>
      </c>
      <c r="B23">
        <f>B33-B28</f>
        <v>26.126972999999992</v>
      </c>
      <c r="C23" t="s">
        <v>104</v>
      </c>
      <c r="D23">
        <f>B23/9.81</f>
        <v>2.6632999999999991</v>
      </c>
      <c r="E23" t="s">
        <v>110</v>
      </c>
    </row>
    <row r="24" spans="1:5" x14ac:dyDescent="0.55000000000000004">
      <c r="A24" t="s">
        <v>105</v>
      </c>
      <c r="B24">
        <f>B23-B31</f>
        <v>0</v>
      </c>
      <c r="C24" t="s">
        <v>104</v>
      </c>
      <c r="D24">
        <f>B24/9.81</f>
        <v>0</v>
      </c>
      <c r="E24" t="s">
        <v>110</v>
      </c>
    </row>
    <row r="25" spans="1:5" x14ac:dyDescent="0.55000000000000004">
      <c r="A25" t="s">
        <v>106</v>
      </c>
      <c r="B25">
        <f>(B23-B24)/B35/9.81</f>
        <v>0.83567618449952918</v>
      </c>
      <c r="C25" t="s">
        <v>107</v>
      </c>
      <c r="E25">
        <f>B32/B35</f>
        <v>0.83567618449952941</v>
      </c>
    </row>
    <row r="26" spans="1:5" x14ac:dyDescent="0.55000000000000004">
      <c r="A26" t="s">
        <v>124</v>
      </c>
      <c r="B26">
        <f>B32*9.81/B35</f>
        <v>8.197983369940383</v>
      </c>
      <c r="C26" t="s">
        <v>126</v>
      </c>
      <c r="D26" t="s">
        <v>125</v>
      </c>
    </row>
    <row r="27" spans="1:5" x14ac:dyDescent="0.55000000000000004">
      <c r="A27" t="s">
        <v>108</v>
      </c>
      <c r="B27">
        <f>B28/9.81</f>
        <v>14.835699999999999</v>
      </c>
      <c r="C27" t="s">
        <v>110</v>
      </c>
      <c r="E27">
        <f>(B33-B31)/9.81</f>
        <v>14.835699999999999</v>
      </c>
    </row>
    <row r="28" spans="1:5" x14ac:dyDescent="0.55000000000000004">
      <c r="A28" t="s">
        <v>109</v>
      </c>
      <c r="B28">
        <f>B33-B31</f>
        <v>145.538217</v>
      </c>
      <c r="C28" t="s">
        <v>104</v>
      </c>
      <c r="E28">
        <f>(B33-B31)</f>
        <v>145.538217</v>
      </c>
    </row>
    <row r="29" spans="1:5" x14ac:dyDescent="0.55000000000000004">
      <c r="A29" t="s">
        <v>111</v>
      </c>
      <c r="B29">
        <f>(PARAMETERS!C7/1000+PARAMETERS!C8/1000)/2*PARAMETERS!C6/1000</f>
        <v>2.1374999999999998E-2</v>
      </c>
      <c r="C29" t="s">
        <v>74</v>
      </c>
    </row>
    <row r="30" spans="1:5" x14ac:dyDescent="0.55000000000000004">
      <c r="A30" t="s">
        <v>116</v>
      </c>
      <c r="B30">
        <v>0.01</v>
      </c>
      <c r="C30" t="s">
        <v>74</v>
      </c>
      <c r="D30" t="s">
        <v>117</v>
      </c>
    </row>
    <row r="31" spans="1:5" x14ac:dyDescent="0.55000000000000004">
      <c r="A31" t="s">
        <v>118</v>
      </c>
      <c r="B31">
        <f>B32*9.81</f>
        <v>26.126973</v>
      </c>
      <c r="C31" t="s">
        <v>104</v>
      </c>
    </row>
    <row r="32" spans="1:5" x14ac:dyDescent="0.55000000000000004">
      <c r="A32" t="s">
        <v>120</v>
      </c>
      <c r="B32">
        <v>2.6633</v>
      </c>
      <c r="C32" t="s">
        <v>110</v>
      </c>
    </row>
    <row r="33" spans="1:4" x14ac:dyDescent="0.55000000000000004">
      <c r="A33" t="s">
        <v>119</v>
      </c>
      <c r="B33">
        <f>B34*9.81</f>
        <v>171.66519</v>
      </c>
      <c r="C33" t="s">
        <v>104</v>
      </c>
      <c r="D33">
        <f>B23+B28</f>
        <v>171.66519</v>
      </c>
    </row>
    <row r="34" spans="1:4" x14ac:dyDescent="0.55000000000000004">
      <c r="A34" t="s">
        <v>121</v>
      </c>
      <c r="B34">
        <v>17.498999999999999</v>
      </c>
      <c r="C34" t="s">
        <v>110</v>
      </c>
      <c r="D34">
        <f>(B23+B28)/9.81</f>
        <v>17.498999999999999</v>
      </c>
    </row>
    <row r="35" spans="1:4" x14ac:dyDescent="0.55000000000000004">
      <c r="A35" t="s">
        <v>123</v>
      </c>
      <c r="B35">
        <v>3.1869999999999998</v>
      </c>
      <c r="C35" t="s">
        <v>122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28" t="s">
        <v>42</v>
      </c>
      <c r="C2" s="28"/>
      <c r="D2" s="28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28" t="s">
        <v>43</v>
      </c>
      <c r="C7" s="28"/>
      <c r="D7" s="28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28" t="s">
        <v>47</v>
      </c>
      <c r="C12" s="28"/>
      <c r="D12" s="28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G19" sqref="G19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500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350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230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2015-12-12T02:36:48Z</dcterms:modified>
</cp:coreProperties>
</file>