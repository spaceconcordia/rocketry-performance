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25200" windowHeight="11988" activeTab="2"/>
  </bookViews>
  <sheets>
    <sheet name="PARAMETERS" sheetId="13" r:id="rId1"/>
    <sheet name="Sheet1" sheetId="19" r:id="rId2"/>
    <sheet name="Matlab_Data" sheetId="18" r:id="rId3"/>
    <sheet name="Inertial Data" sheetId="14" r:id="rId4"/>
    <sheet name="General Parameters" sheetId="15" r:id="rId5"/>
  </sheets>
  <externalReferences>
    <externalReference r:id="rId6"/>
  </externalReference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2" i="18" l="1"/>
  <c r="B59" i="18"/>
  <c r="B61" i="18"/>
  <c r="B60" i="18"/>
  <c r="B53" i="18" l="1"/>
  <c r="B52" i="18"/>
  <c r="B17" i="18"/>
  <c r="B8" i="18"/>
  <c r="B34" i="18" s="1"/>
  <c r="B7" i="18"/>
  <c r="B21" i="18" l="1"/>
  <c r="B28" i="18"/>
  <c r="B33" i="18"/>
  <c r="B43" i="18" s="1"/>
  <c r="B35" i="18"/>
  <c r="B37" i="18"/>
  <c r="B48" i="18"/>
  <c r="B49" i="18"/>
  <c r="B57" i="18"/>
  <c r="B56" i="18" s="1"/>
  <c r="B44" i="18" l="1"/>
  <c r="B50" i="18" s="1"/>
  <c r="B45" i="18"/>
  <c r="B30" i="18"/>
  <c r="B29" i="18" s="1"/>
  <c r="D23" i="18"/>
  <c r="B24" i="18" l="1"/>
  <c r="E27" i="18"/>
  <c r="B25" i="18" l="1"/>
  <c r="B26" i="18"/>
  <c r="B27" i="18" s="1"/>
  <c r="B2" i="18"/>
  <c r="B3" i="18" l="1"/>
  <c r="E30" i="18"/>
  <c r="E29" i="18"/>
  <c r="B4" i="18"/>
  <c r="B9" i="18"/>
  <c r="B42" i="18" s="1"/>
  <c r="B5" i="18"/>
  <c r="B6" i="18"/>
  <c r="D26" i="18" l="1"/>
  <c r="D24" i="18"/>
  <c r="D37" i="18"/>
  <c r="D38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</calcChain>
</file>

<file path=xl/sharedStrings.xml><?xml version="1.0" encoding="utf-8"?>
<sst xmlns="http://schemas.openxmlformats.org/spreadsheetml/2006/main" count="295" uniqueCount="167">
  <si>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</si>
  <si>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</si>
  <si>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</si>
  <si>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</si>
  <si>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</si>
  <si>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</si>
  <si>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</si>
  <si>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</si>
  <si>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</si>
  <si>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</si>
  <si>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</si>
  <si>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</si>
  <si>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</si>
  <si>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</si>
  <si>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</si>
  <si>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</si>
  <si>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</si>
  <si>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</si>
  <si>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</si>
  <si>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</si>
  <si>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</si>
  <si>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</si>
  <si>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</si>
  <si>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</si>
  <si>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</si>
  <si>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</si>
  <si>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</si>
  <si>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</si>
  <si>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</si>
  <si>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</si>
  <si>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</si>
  <si>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</si>
  <si>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</si>
  <si>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</si>
  <si>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</si>
  <si>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</si>
  <si>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</si>
  <si>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</si>
  <si>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</si>
  <si>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</si>
  <si>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</si>
  <si>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</si>
  <si>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</si>
  <si>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</si>
  <si>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</si>
  <si>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</si>
  <si>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</si>
  <si>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</si>
  <si>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</si>
  <si>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</si>
  <si>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</si>
  <si>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</si>
  <si>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</si>
  <si>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</si>
  <si>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</si>
  <si>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</si>
  <si>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</si>
  <si>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</si>
  <si>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</si>
  <si>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</si>
  <si>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</si>
  <si>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</si>
  <si>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</si>
  <si>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</si>
  <si>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</si>
  <si>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</si>
  <si>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</si>
  <si>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</si>
  <si>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</si>
  <si>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</si>
  <si>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</si>
  <si>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</si>
  <si>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</si>
  <si>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</si>
  <si>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</si>
  <si>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</si>
  <si>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</si>
  <si>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</si>
  <si>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</si>
  <si>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</si>
  <si>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</si>
  <si>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</si>
  <si>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</si>
  <si>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</si>
  <si>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</si>
  <si>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</si>
  <si>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</si>
  <si>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</si>
  <si>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</si>
  <si>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</si>
  <si>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</si>
  <si>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</si>
  <si>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</si>
  <si>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</si>
  <si>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</si>
  <si>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</si>
  <si>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</si>
  <si>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</si>
  <si>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</si>
  <si>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</si>
  <si>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</si>
  <si>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</si>
  <si>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</si>
  <si>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</si>
  <si>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</si>
  <si>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</si>
  <si>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</si>
  <si>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</si>
  <si>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</si>
  <si>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</si>
  <si>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</si>
  <si>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</si>
  <si>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</si>
  <si>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</si>
  <si>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</si>
  <si>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area_wetted_nose_cone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</si>
  <si>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</si>
  <si>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</si>
  <si>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</si>
  <si>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</si>
  <si>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</si>
  <si>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</si>
  <si>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</si>
  <si>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</si>
  <si>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</si>
  <si>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</si>
  <si>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</si>
  <si>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</si>
  <si>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</si>
  <si>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</si>
  <si>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</si>
  <si>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</si>
  <si>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</si>
  <si>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</si>
  <si>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</si>
  <si>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</si>
  <si>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</si>
  <si>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</si>
  <si>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</si>
  <si>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</si>
  <si>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</si>
  <si>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</si>
  <si>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</si>
  <si>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</si>
  <si>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or radians?</t>
  </si>
  <si>
    <t>wet_motor_mass</t>
  </si>
  <si>
    <t>dry_rocket_cog</t>
  </si>
  <si>
    <t>cog_motor_local</t>
  </si>
  <si>
    <t>From Nose Tip!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</si>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</sst>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11" fontId="0" fillId="0" borderId="1" xfId="0" applyNumberFormat="1" applyBorder="1"/>
    <xf numFmtId="0" fontId="0" fillId="7" borderId="1" xfId="0" applyFill="1" applyBorder="1"/>
    <xf numFmtId="0" fontId="0" fillId="3" borderId="13" xfId="0" applyFill="1" applyBorder="1"/>
    <xf numFmtId="0" fontId="0" fillId="5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corpii/Google%20Drive/PARAMETRIC%20DATA/Parametric_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AMETERS"/>
      <sheetName val="Sheet1"/>
      <sheetName val="Matlab_Data"/>
      <sheetName val="Inertial Data"/>
      <sheetName val="General Parameters"/>
    </sheetNames>
    <sheetDataSet>
      <sheetData sheetId="0">
        <row r="7">
          <cell r="C7">
            <v>280</v>
          </cell>
        </row>
      </sheetData>
      <sheetData sheetId="1" refreshError="1"/>
      <sheetData sheetId="2">
        <row r="10">
          <cell r="B10">
            <v>0.10299999999999999</v>
          </cell>
        </row>
        <row r="48">
          <cell r="B48">
            <v>0.28000000000000003</v>
          </cell>
        </row>
      </sheetData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5"/>
  <sheetViews>
    <sheetView workbookViewId="0">
      <selection activeCell="B19" sqref="B19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2"/>
  <sheetViews>
    <sheetView tabSelected="1" topLeftCell="A31" workbookViewId="0">
      <selection activeCell="B48" sqref="B48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4" t="s">
        <v>73</v>
      </c>
      <c r="B2" s="26">
        <f>PARAMETERS!C6/1000*PARAMETERS!C5/1000</f>
        <v>3.0162499999999997E-4</v>
      </c>
      <c r="C2" s="26" t="s">
        <v>74</v>
      </c>
      <c r="D2" s="26" t="s">
        <v>112</v>
      </c>
      <c r="E2" s="26"/>
    </row>
    <row r="3" spans="1:5" x14ac:dyDescent="0.55000000000000004">
      <c r="A3" s="4" t="s">
        <v>75</v>
      </c>
      <c r="B3" s="26">
        <f>B33</f>
        <v>1.805E-2</v>
      </c>
      <c r="C3" s="26" t="s">
        <v>74</v>
      </c>
      <c r="D3" s="26" t="s">
        <v>112</v>
      </c>
      <c r="E3" s="26"/>
    </row>
    <row r="4" spans="1:5" x14ac:dyDescent="0.55000000000000004">
      <c r="A4" s="4" t="s">
        <v>76</v>
      </c>
      <c r="B4" s="26">
        <f>PARAMETERS!C7*0.001</f>
        <v>0.28000000000000003</v>
      </c>
      <c r="C4" s="26" t="s">
        <v>77</v>
      </c>
      <c r="D4" s="26" t="s">
        <v>113</v>
      </c>
      <c r="E4" s="26"/>
    </row>
    <row r="5" spans="1:5" x14ac:dyDescent="0.55000000000000004">
      <c r="A5" s="4" t="s">
        <v>78</v>
      </c>
      <c r="B5" s="26">
        <f>PARAMETERS!C4</f>
        <v>3</v>
      </c>
      <c r="C5" s="26" t="s">
        <v>79</v>
      </c>
      <c r="D5" s="26"/>
      <c r="E5" s="26"/>
    </row>
    <row r="6" spans="1:5" x14ac:dyDescent="0.55000000000000004">
      <c r="A6" s="4" t="s">
        <v>80</v>
      </c>
      <c r="B6" s="26">
        <f>PARAMETERS!C5*0.001</f>
        <v>3.1749999999999999E-3</v>
      </c>
      <c r="C6" s="26" t="s">
        <v>77</v>
      </c>
      <c r="D6" s="26"/>
      <c r="E6" s="26"/>
    </row>
    <row r="7" spans="1:5" x14ac:dyDescent="0.55000000000000004">
      <c r="A7" s="4" t="s">
        <v>152</v>
      </c>
      <c r="B7" s="26">
        <f>(B10/2)^2*PI()</f>
        <v>8.3322891154835269E-3</v>
      </c>
      <c r="C7" s="26" t="s">
        <v>74</v>
      </c>
      <c r="D7" s="26"/>
      <c r="E7" s="26"/>
    </row>
    <row r="8" spans="1:5" x14ac:dyDescent="0.55000000000000004">
      <c r="A8" s="4" t="s">
        <v>81</v>
      </c>
      <c r="B8" s="26">
        <f>0.107+0.004</f>
        <v>0.111</v>
      </c>
      <c r="C8" s="26" t="s">
        <v>74</v>
      </c>
      <c r="D8" s="26"/>
      <c r="E8" s="26"/>
    </row>
    <row r="9" spans="1:5" x14ac:dyDescent="0.55000000000000004">
      <c r="A9" s="4" t="s">
        <v>82</v>
      </c>
      <c r="B9" s="26">
        <f>PARAMETERS!C6*0.001</f>
        <v>9.5000000000000001E-2</v>
      </c>
      <c r="C9" s="26" t="s">
        <v>77</v>
      </c>
      <c r="D9" s="26"/>
      <c r="E9" s="26"/>
    </row>
    <row r="10" spans="1:5" x14ac:dyDescent="0.55000000000000004">
      <c r="A10" s="4" t="s">
        <v>83</v>
      </c>
      <c r="B10" s="26">
        <v>0.10299999999999999</v>
      </c>
      <c r="C10" s="26" t="s">
        <v>77</v>
      </c>
      <c r="D10" s="26"/>
      <c r="E10" s="26"/>
    </row>
    <row r="11" spans="1:5" x14ac:dyDescent="0.55000000000000004">
      <c r="A11" s="4" t="s">
        <v>84</v>
      </c>
      <c r="B11" s="28">
        <v>2.0000000000000002E-5</v>
      </c>
      <c r="C11" s="26" t="s">
        <v>77</v>
      </c>
      <c r="D11" s="26"/>
      <c r="E11" s="26"/>
    </row>
    <row r="12" spans="1:5" x14ac:dyDescent="0.55000000000000004">
      <c r="A12" s="4" t="s">
        <v>85</v>
      </c>
      <c r="B12" s="4">
        <v>2.5146670000000002</v>
      </c>
      <c r="C12" s="4" t="s">
        <v>77</v>
      </c>
      <c r="D12" s="4" t="s">
        <v>111</v>
      </c>
      <c r="E12" s="26"/>
    </row>
    <row r="13" spans="1:5" x14ac:dyDescent="0.55000000000000004">
      <c r="A13" s="26" t="s">
        <v>99</v>
      </c>
      <c r="B13" s="26">
        <v>101325</v>
      </c>
      <c r="C13" s="26" t="s">
        <v>86</v>
      </c>
      <c r="D13" s="26">
        <v>101100</v>
      </c>
      <c r="E13" s="26"/>
    </row>
    <row r="14" spans="1:5" x14ac:dyDescent="0.55000000000000004">
      <c r="A14" s="26" t="s">
        <v>100</v>
      </c>
      <c r="B14" s="26">
        <v>288.14999999999998</v>
      </c>
      <c r="C14" s="26" t="s">
        <v>114</v>
      </c>
      <c r="D14" s="26">
        <v>310.14999999999998</v>
      </c>
      <c r="E14" s="26"/>
    </row>
    <row r="15" spans="1:5" x14ac:dyDescent="0.55000000000000004">
      <c r="A15" s="29" t="s">
        <v>87</v>
      </c>
      <c r="B15" s="29">
        <v>1.59</v>
      </c>
      <c r="C15" s="29" t="s">
        <v>77</v>
      </c>
      <c r="D15" s="29" t="s">
        <v>111</v>
      </c>
      <c r="E15" s="26"/>
    </row>
    <row r="16" spans="1:5" x14ac:dyDescent="0.55000000000000004">
      <c r="A16" s="29" t="s">
        <v>88</v>
      </c>
      <c r="B16" s="29">
        <v>1.9</v>
      </c>
      <c r="C16" s="29" t="s">
        <v>77</v>
      </c>
      <c r="D16" s="29" t="s">
        <v>111</v>
      </c>
      <c r="E16" s="26"/>
    </row>
    <row r="17" spans="1:5" x14ac:dyDescent="0.55000000000000004">
      <c r="A17" s="4" t="s">
        <v>89</v>
      </c>
      <c r="B17" s="4">
        <f>ATAN(PARAMETERS!C6/PARAMETERS!C9)</f>
        <v>0.5358112379604637</v>
      </c>
      <c r="C17" s="4" t="s">
        <v>90</v>
      </c>
      <c r="D17" s="4"/>
      <c r="E17" s="26"/>
    </row>
    <row r="18" spans="1:5" x14ac:dyDescent="0.55000000000000004">
      <c r="A18" s="26" t="s">
        <v>91</v>
      </c>
      <c r="B18" s="26">
        <v>1.61E-2</v>
      </c>
      <c r="C18" s="26" t="s">
        <v>77</v>
      </c>
      <c r="D18" s="26" t="s">
        <v>153</v>
      </c>
      <c r="E18" s="26"/>
    </row>
    <row r="19" spans="1:5" x14ac:dyDescent="0.55000000000000004">
      <c r="A19" s="26" t="s">
        <v>92</v>
      </c>
      <c r="B19" s="26">
        <v>0</v>
      </c>
      <c r="C19" s="26" t="s">
        <v>77</v>
      </c>
      <c r="D19" s="26"/>
      <c r="E19" s="26"/>
    </row>
    <row r="20" spans="1:5" x14ac:dyDescent="0.55000000000000004">
      <c r="A20" s="26" t="s">
        <v>93</v>
      </c>
      <c r="B20" s="26">
        <v>13</v>
      </c>
      <c r="C20" s="26" t="s">
        <v>94</v>
      </c>
      <c r="D20" s="26" t="s">
        <v>149</v>
      </c>
      <c r="E20" s="26"/>
    </row>
    <row r="21" spans="1:5" x14ac:dyDescent="0.55000000000000004">
      <c r="A21" s="26" t="s">
        <v>96</v>
      </c>
      <c r="B21" s="26">
        <f>(ATAN(PARAMETERS!C9/PARAMETERS!C6)+PI()/2)*(180/PI())</f>
        <v>149.30027744918559</v>
      </c>
      <c r="C21" s="26" t="s">
        <v>39</v>
      </c>
      <c r="D21" s="26" t="s">
        <v>97</v>
      </c>
      <c r="E21" s="26"/>
    </row>
    <row r="22" spans="1:5" x14ac:dyDescent="0.55000000000000004">
      <c r="A22" s="26" t="s">
        <v>98</v>
      </c>
      <c r="B22" s="26">
        <v>1243</v>
      </c>
      <c r="C22" s="26" t="s">
        <v>77</v>
      </c>
      <c r="D22" s="26"/>
      <c r="E22" s="26"/>
    </row>
    <row r="23" spans="1:5" x14ac:dyDescent="0.55000000000000004">
      <c r="A23" s="26" t="s">
        <v>101</v>
      </c>
      <c r="B23" s="26">
        <v>0.50800000000000001</v>
      </c>
      <c r="C23" s="26" t="s">
        <v>77</v>
      </c>
      <c r="D23" s="26">
        <f>B23*25.4</f>
        <v>12.9032</v>
      </c>
      <c r="E23" s="26"/>
    </row>
    <row r="24" spans="1:5" x14ac:dyDescent="0.55000000000000004">
      <c r="A24" s="26" t="s">
        <v>102</v>
      </c>
      <c r="B24" s="26">
        <f>B37-B30</f>
        <v>26.126972999999992</v>
      </c>
      <c r="C24" s="26" t="s">
        <v>103</v>
      </c>
      <c r="D24" s="26">
        <f>B24/9.81</f>
        <v>2.6632999999999991</v>
      </c>
      <c r="E24" s="26" t="s">
        <v>109</v>
      </c>
    </row>
    <row r="25" spans="1:5" x14ac:dyDescent="0.55000000000000004">
      <c r="A25" s="26" t="s">
        <v>145</v>
      </c>
      <c r="B25" s="26">
        <f>B24/9.81</f>
        <v>2.6632999999999991</v>
      </c>
      <c r="C25" s="26" t="s">
        <v>109</v>
      </c>
      <c r="D25" s="26"/>
      <c r="E25" s="26"/>
    </row>
    <row r="26" spans="1:5" x14ac:dyDescent="0.55000000000000004">
      <c r="A26" s="26" t="s">
        <v>104</v>
      </c>
      <c r="B26" s="26">
        <f>B24-B35</f>
        <v>0</v>
      </c>
      <c r="C26" s="26" t="s">
        <v>103</v>
      </c>
      <c r="D26" s="26">
        <f>B26/9.81</f>
        <v>0</v>
      </c>
      <c r="E26" s="26" t="s">
        <v>109</v>
      </c>
    </row>
    <row r="27" spans="1:5" x14ac:dyDescent="0.55000000000000004">
      <c r="A27" s="26" t="s">
        <v>105</v>
      </c>
      <c r="B27" s="26">
        <f>(B24-B26)/B39/9.81</f>
        <v>0.83567618449952918</v>
      </c>
      <c r="C27" s="26" t="s">
        <v>106</v>
      </c>
      <c r="D27" s="26"/>
      <c r="E27" s="26">
        <f>B36/B39</f>
        <v>0.83567618449952941</v>
      </c>
    </row>
    <row r="28" spans="1:5" x14ac:dyDescent="0.55000000000000004">
      <c r="A28" s="26" t="s">
        <v>122</v>
      </c>
      <c r="B28" s="26">
        <f>B36*9.81/B39</f>
        <v>8.197983369940383</v>
      </c>
      <c r="C28" s="26" t="s">
        <v>124</v>
      </c>
      <c r="D28" s="26" t="s">
        <v>123</v>
      </c>
      <c r="E28" s="26"/>
    </row>
    <row r="29" spans="1:5" x14ac:dyDescent="0.55000000000000004">
      <c r="A29" s="26" t="s">
        <v>107</v>
      </c>
      <c r="B29" s="26">
        <f>B30/9.81</f>
        <v>15.505700000000003</v>
      </c>
      <c r="C29" s="26" t="s">
        <v>109</v>
      </c>
      <c r="D29" s="26"/>
      <c r="E29" s="26">
        <f>(B37-B35)/9.81</f>
        <v>15.505700000000003</v>
      </c>
    </row>
    <row r="30" spans="1:5" x14ac:dyDescent="0.55000000000000004">
      <c r="A30" s="26" t="s">
        <v>108</v>
      </c>
      <c r="B30" s="26">
        <f>B37-B35</f>
        <v>152.11091700000003</v>
      </c>
      <c r="C30" s="26" t="s">
        <v>103</v>
      </c>
      <c r="D30" s="26"/>
      <c r="E30" s="26">
        <f>(B37-B35)</f>
        <v>152.11091700000003</v>
      </c>
    </row>
    <row r="31" spans="1:5" x14ac:dyDescent="0.55000000000000004">
      <c r="A31" s="26" t="s">
        <v>146</v>
      </c>
      <c r="B31" s="26">
        <v>1.4858</v>
      </c>
      <c r="C31" s="26" t="s">
        <v>77</v>
      </c>
      <c r="D31" s="26"/>
      <c r="E31" s="26"/>
    </row>
    <row r="32" spans="1:5" x14ac:dyDescent="0.55000000000000004">
      <c r="A32" s="26" t="s">
        <v>150</v>
      </c>
      <c r="B32" s="26">
        <v>11.6</v>
      </c>
      <c r="C32" s="26" t="s">
        <v>94</v>
      </c>
      <c r="D32" s="26" t="s">
        <v>151</v>
      </c>
      <c r="E32" s="26"/>
    </row>
    <row r="33" spans="1:5" x14ac:dyDescent="0.55000000000000004">
      <c r="A33" s="26" t="s">
        <v>110</v>
      </c>
      <c r="B33" s="26">
        <f>(PARAMETERS!C7/1000+PARAMETERS!C8/1000)/2*PARAMETERS!C6/1000</f>
        <v>1.805E-2</v>
      </c>
      <c r="C33" s="26" t="s">
        <v>74</v>
      </c>
      <c r="D33" s="26"/>
      <c r="E33" s="26"/>
    </row>
    <row r="34" spans="1:5" x14ac:dyDescent="0.55000000000000004">
      <c r="A34" s="4" t="s">
        <v>115</v>
      </c>
      <c r="B34" s="4">
        <f>B8</f>
        <v>0.111</v>
      </c>
      <c r="C34" s="4" t="s">
        <v>74</v>
      </c>
      <c r="D34" s="4" t="s">
        <v>139</v>
      </c>
      <c r="E34" s="26"/>
    </row>
    <row r="35" spans="1:5" x14ac:dyDescent="0.55000000000000004">
      <c r="A35" s="26" t="s">
        <v>116</v>
      </c>
      <c r="B35" s="26">
        <f>B36*9.81</f>
        <v>26.126973</v>
      </c>
      <c r="C35" s="26" t="s">
        <v>103</v>
      </c>
      <c r="D35" s="26"/>
      <c r="E35" s="26"/>
    </row>
    <row r="36" spans="1:5" x14ac:dyDescent="0.55000000000000004">
      <c r="A36" s="26" t="s">
        <v>118</v>
      </c>
      <c r="B36" s="26">
        <v>2.6633</v>
      </c>
      <c r="C36" s="26" t="s">
        <v>109</v>
      </c>
      <c r="D36" s="26"/>
      <c r="E36" s="26"/>
    </row>
    <row r="37" spans="1:5" x14ac:dyDescent="0.55000000000000004">
      <c r="A37" s="26" t="s">
        <v>117</v>
      </c>
      <c r="B37" s="26">
        <f>B38*9.81</f>
        <v>178.23789000000002</v>
      </c>
      <c r="C37" s="26" t="s">
        <v>103</v>
      </c>
      <c r="D37" s="26">
        <f>B24+B30</f>
        <v>178.23789000000002</v>
      </c>
      <c r="E37" s="26"/>
    </row>
    <row r="38" spans="1:5" x14ac:dyDescent="0.55000000000000004">
      <c r="A38" s="26" t="s">
        <v>119</v>
      </c>
      <c r="B38" s="26">
        <v>18.169</v>
      </c>
      <c r="C38" s="26" t="s">
        <v>109</v>
      </c>
      <c r="D38" s="26">
        <f>(B24+B30)/9.81</f>
        <v>18.169</v>
      </c>
      <c r="E38" s="26"/>
    </row>
    <row r="39" spans="1:5" x14ac:dyDescent="0.55000000000000004">
      <c r="A39" s="26" t="s">
        <v>121</v>
      </c>
      <c r="B39" s="26">
        <v>3.1869999999999998</v>
      </c>
      <c r="C39" s="26" t="s">
        <v>120</v>
      </c>
      <c r="D39" s="26"/>
      <c r="E39" s="26"/>
    </row>
    <row r="40" spans="1:5" x14ac:dyDescent="0.55000000000000004">
      <c r="A40" s="29" t="s">
        <v>129</v>
      </c>
      <c r="B40" s="29">
        <v>1</v>
      </c>
      <c r="C40" s="29"/>
      <c r="D40" s="29" t="s">
        <v>130</v>
      </c>
      <c r="E40" s="26"/>
    </row>
    <row r="41" spans="1:5" x14ac:dyDescent="0.55000000000000004">
      <c r="A41" s="29" t="s">
        <v>128</v>
      </c>
      <c r="B41" s="29">
        <v>1</v>
      </c>
      <c r="C41" s="29"/>
      <c r="D41" s="29" t="s">
        <v>130</v>
      </c>
      <c r="E41" s="26"/>
    </row>
    <row r="42" spans="1:5" x14ac:dyDescent="0.55000000000000004">
      <c r="A42" s="26" t="s">
        <v>125</v>
      </c>
      <c r="B42" s="26">
        <f>2*B9+B10</f>
        <v>0.29299999999999998</v>
      </c>
      <c r="C42" s="26" t="s">
        <v>77</v>
      </c>
      <c r="D42" s="26" t="s">
        <v>132</v>
      </c>
      <c r="E42" s="26"/>
    </row>
    <row r="43" spans="1:5" x14ac:dyDescent="0.55000000000000004">
      <c r="A43" s="4" t="s">
        <v>126</v>
      </c>
      <c r="B43" s="4">
        <f>B33</f>
        <v>1.805E-2</v>
      </c>
      <c r="C43" s="4" t="s">
        <v>74</v>
      </c>
      <c r="D43" s="4" t="s">
        <v>131</v>
      </c>
      <c r="E43" s="26"/>
    </row>
    <row r="44" spans="1:5" x14ac:dyDescent="0.55000000000000004">
      <c r="A44" s="4" t="s">
        <v>127</v>
      </c>
      <c r="B44" s="4">
        <f>B43</f>
        <v>1.805E-2</v>
      </c>
      <c r="C44" s="4" t="s">
        <v>74</v>
      </c>
      <c r="D44" s="4" t="s">
        <v>139</v>
      </c>
      <c r="E44" s="26"/>
    </row>
    <row r="45" spans="1:5" x14ac:dyDescent="0.55000000000000004">
      <c r="A45" s="4" t="s">
        <v>154</v>
      </c>
      <c r="B45" s="4">
        <f>B43+0.5*B10*[1]PARAMETERS!C7/1000</f>
        <v>3.2469999999999999E-2</v>
      </c>
      <c r="C45" s="4" t="s">
        <v>74</v>
      </c>
      <c r="D45" s="4" t="s">
        <v>155</v>
      </c>
      <c r="E45" s="26"/>
    </row>
    <row r="46" spans="1:5" x14ac:dyDescent="0.55000000000000004">
      <c r="A46" s="4" t="s">
        <v>133</v>
      </c>
      <c r="B46" s="4">
        <v>2.234667</v>
      </c>
      <c r="C46" s="4" t="s">
        <v>77</v>
      </c>
      <c r="D46" s="4" t="s">
        <v>139</v>
      </c>
      <c r="E46" s="26"/>
    </row>
    <row r="47" spans="1:5" x14ac:dyDescent="0.55000000000000004">
      <c r="A47" s="4" t="s">
        <v>134</v>
      </c>
      <c r="B47" s="4">
        <v>0.118004</v>
      </c>
      <c r="C47" s="4" t="s">
        <v>77</v>
      </c>
      <c r="D47" s="4" t="s">
        <v>139</v>
      </c>
      <c r="E47" s="26"/>
    </row>
    <row r="48" spans="1:5" x14ac:dyDescent="0.55000000000000004">
      <c r="A48" s="4" t="s">
        <v>135</v>
      </c>
      <c r="B48" s="4">
        <f>PARAMETERS!C7*0.001</f>
        <v>0.28000000000000003</v>
      </c>
      <c r="C48" s="4" t="s">
        <v>77</v>
      </c>
      <c r="D48" s="4"/>
      <c r="E48" s="26"/>
    </row>
    <row r="49" spans="1:5" x14ac:dyDescent="0.55000000000000004">
      <c r="A49" s="4" t="s">
        <v>136</v>
      </c>
      <c r="B49" s="4">
        <f>PARAMETERS!C8*0.001</f>
        <v>0.1</v>
      </c>
      <c r="C49" s="4" t="s">
        <v>77</v>
      </c>
      <c r="D49" s="4"/>
      <c r="E49" s="26"/>
    </row>
    <row r="50" spans="1:5" x14ac:dyDescent="0.55000000000000004">
      <c r="A50" s="4" t="s">
        <v>156</v>
      </c>
      <c r="B50" s="4">
        <f>0.5*[1]Matlab_Data!B10*2*COS(PI()/6)*[1]Matlab_Data!B48 + B44*COS(PI()/6)*2</f>
        <v>5.6239689721761452E-2</v>
      </c>
      <c r="C50" s="4" t="s">
        <v>74</v>
      </c>
      <c r="D50" s="4" t="s">
        <v>157</v>
      </c>
      <c r="E50" s="26"/>
    </row>
    <row r="51" spans="1:5" x14ac:dyDescent="0.55000000000000004">
      <c r="A51" s="4" t="s">
        <v>158</v>
      </c>
      <c r="B51" s="4">
        <v>6.9000000000000006E-2</v>
      </c>
      <c r="C51" s="4" t="s">
        <v>74</v>
      </c>
      <c r="D51" s="4"/>
      <c r="E51" s="26"/>
    </row>
    <row r="52" spans="1:5" x14ac:dyDescent="0.55000000000000004">
      <c r="A52" s="4" t="s">
        <v>159</v>
      </c>
      <c r="B52" s="4">
        <f>(B46-B23)*B10</f>
        <v>0.177846701</v>
      </c>
      <c r="C52" s="4" t="s">
        <v>74</v>
      </c>
      <c r="D52" s="4" t="s">
        <v>160</v>
      </c>
      <c r="E52" s="26"/>
    </row>
    <row r="53" spans="1:5" x14ac:dyDescent="0.55000000000000004">
      <c r="A53" s="4" t="s">
        <v>137</v>
      </c>
      <c r="B53" s="4">
        <f>SUM(B50:B52)</f>
        <v>0.30308639072176147</v>
      </c>
      <c r="C53" s="4" t="s">
        <v>74</v>
      </c>
      <c r="D53" s="4" t="s">
        <v>139</v>
      </c>
      <c r="E53" s="26"/>
    </row>
    <row r="54" spans="1:5" x14ac:dyDescent="0.55000000000000004">
      <c r="A54" s="4" t="s">
        <v>138</v>
      </c>
      <c r="B54" s="4">
        <v>2.5178129999999999</v>
      </c>
      <c r="C54" s="4" t="s">
        <v>77</v>
      </c>
      <c r="D54" s="4" t="s">
        <v>139</v>
      </c>
      <c r="E54" s="26"/>
    </row>
    <row r="55" spans="1:5" x14ac:dyDescent="0.55000000000000004">
      <c r="A55" s="4" t="s">
        <v>140</v>
      </c>
      <c r="B55" s="4">
        <v>0.621</v>
      </c>
      <c r="C55" s="4" t="s">
        <v>77</v>
      </c>
      <c r="D55" s="4"/>
      <c r="E55" s="26"/>
    </row>
    <row r="56" spans="1:5" x14ac:dyDescent="0.55000000000000004">
      <c r="A56" s="4" t="s">
        <v>141</v>
      </c>
      <c r="B56" s="4">
        <f>B57+(B12-B55)</f>
        <v>2.204167</v>
      </c>
      <c r="C56" s="4" t="s">
        <v>77</v>
      </c>
      <c r="D56" s="4" t="s">
        <v>148</v>
      </c>
      <c r="E56" s="26"/>
    </row>
    <row r="57" spans="1:5" x14ac:dyDescent="0.55000000000000004">
      <c r="A57" s="4" t="s">
        <v>147</v>
      </c>
      <c r="B57" s="4">
        <f>B55/2</f>
        <v>0.3105</v>
      </c>
      <c r="C57" s="4" t="s">
        <v>77</v>
      </c>
      <c r="D57" s="4" t="s">
        <v>142</v>
      </c>
      <c r="E57" s="26"/>
    </row>
    <row r="58" spans="1:5" x14ac:dyDescent="0.55000000000000004">
      <c r="A58" s="4" t="s">
        <v>143</v>
      </c>
      <c r="B58" s="4">
        <v>0</v>
      </c>
      <c r="C58" s="4" t="s">
        <v>39</v>
      </c>
      <c r="D58" s="4" t="s">
        <v>144</v>
      </c>
      <c r="E58" s="26"/>
    </row>
    <row r="59" spans="1:5" x14ac:dyDescent="0.55000000000000004">
      <c r="A59" s="30" t="s">
        <v>161</v>
      </c>
      <c r="B59">
        <f>(B46+(B12-B46)/2)</f>
        <v>2.3746670000000001</v>
      </c>
      <c r="D59" s="30" t="s">
        <v>165</v>
      </c>
    </row>
    <row r="60" spans="1:5" x14ac:dyDescent="0.55000000000000004">
      <c r="A60" s="30" t="s">
        <v>162</v>
      </c>
      <c r="B60">
        <f>2/3*B23</f>
        <v>0.33866666666666667</v>
      </c>
      <c r="D60" s="23" t="s">
        <v>164</v>
      </c>
    </row>
    <row r="61" spans="1:5" x14ac:dyDescent="0.55000000000000004">
      <c r="A61" s="30" t="s">
        <v>163</v>
      </c>
      <c r="B61">
        <f>(B46-B23)/2</f>
        <v>0.86333349999999998</v>
      </c>
    </row>
    <row r="62" spans="1:5" x14ac:dyDescent="0.55000000000000004">
      <c r="A62" s="30" t="s">
        <v>166</v>
      </c>
      <c r="B62">
        <f>(B59*B50+B60*B51+B61*B52)/B53</f>
        <v>1.0243269233269428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1" t="s">
        <v>42</v>
      </c>
      <c r="C2" s="31"/>
      <c r="D2" s="31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1" t="s">
        <v>43</v>
      </c>
      <c r="C7" s="31"/>
      <c r="D7" s="31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1" t="s">
        <v>47</v>
      </c>
      <c r="C12" s="31"/>
      <c r="D12" s="31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PARAMETERS</vt:lpstr>
      <vt:lpstr>Sheet1</vt:lpstr>
      <vt:lpstr>Matlab_Data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2016-01-20T20:53:42Z</dcterms:modified>
</cp:coreProperties>
</file>