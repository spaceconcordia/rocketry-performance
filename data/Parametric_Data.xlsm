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stom\Documents\Emily\rocketry-performance\data\"/>
    </mc:Choice>
  </mc:AlternateContent>
  <bookViews>
    <workbookView xWindow="0" yWindow="0" windowWidth="9600" windowHeight="4395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4" i="18" l="1"/>
  <c r="B26" i="18" l="1"/>
  <c r="B11" i="18" l="1"/>
  <c r="B67" i="18" l="1"/>
  <c r="B27" i="18" l="1"/>
  <c r="B60" i="18" l="1"/>
  <c r="B62" i="18"/>
  <c r="B61" i="18"/>
  <c r="B54" i="18" l="1"/>
  <c r="B9" i="18"/>
  <c r="B16" i="18"/>
  <c r="B41" i="18" s="1"/>
  <c r="B15" i="18"/>
  <c r="B10" i="18" l="1"/>
  <c r="B35" i="18"/>
  <c r="B40" i="18"/>
  <c r="B48" i="18" s="1"/>
  <c r="B42" i="18"/>
  <c r="B44" i="18"/>
  <c r="B13" i="18"/>
  <c r="B14" i="18"/>
  <c r="B59" i="18"/>
  <c r="B58" i="18" s="1"/>
  <c r="B49" i="18" l="1"/>
  <c r="B52" i="18" s="1"/>
  <c r="B50" i="18"/>
  <c r="B37" i="18"/>
  <c r="B36" i="18" s="1"/>
  <c r="D17" i="18"/>
  <c r="B55" i="18" l="1"/>
  <c r="B63" i="18" s="1"/>
  <c r="B31" i="18"/>
  <c r="E34" i="18"/>
  <c r="B32" i="18" l="1"/>
  <c r="B33" i="18"/>
  <c r="B34" i="18" s="1"/>
  <c r="B3" i="18"/>
  <c r="B4" i="18" l="1"/>
  <c r="E37" i="18"/>
  <c r="E36" i="18"/>
  <c r="B5" i="18"/>
  <c r="B8" i="18"/>
  <c r="B47" i="18" s="1"/>
  <c r="B6" i="18"/>
  <c r="B7" i="18"/>
  <c r="D33" i="18" l="1"/>
  <c r="D31" i="18"/>
  <c r="D44" i="18"/>
  <c r="D4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6" i="18"/>
</calcChain>
</file>

<file path=xl/sharedStrings.xml><?xml version="1.0" encoding="utf-8"?>
<sst xmlns="http://schemas.openxmlformats.org/spreadsheetml/2006/main" count="312" uniqueCount="177">
  <si>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</si>
  <si>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</si>
  <si>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</si>
  <si>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</si>
  <si>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</si>
  <si>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</si>
  <si>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</si>
  <si>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</si>
  <si>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</si>
  <si>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</si>
  <si>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</si>
  <si>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</si>
  <si>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</si>
  <si>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</si>
  <si>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</si>
  <si>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</si>
  <si>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</si>
  <si>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</si>
  <si>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</si>
  <si>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</si>
  <si>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</si>
  <si>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</si>
  <si>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</si>
  <si>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</si>
  <si>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</si>
  <si>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</si>
  <si>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</si>
  <si>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</si>
  <si>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</si>
  <si>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</si>
  <si>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</si>
  <si>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</si>
  <si>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</si>
  <si>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</si>
  <si>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</si>
  <si>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</si>
  <si>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</si>
  <si>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</si>
  <si>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</si>
  <si>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</si>
  <si>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</si>
  <si>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</si>
  <si>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</si>
  <si>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</si>
  <si>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</si>
  <si>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</si>
  <si>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</si>
  <si>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</si>
  <si>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</si>
  <si>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orbel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</si>
  <si>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</si>
  <si>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</si>
  <si>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</si>
  <si>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</si>
  <si>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</si>
  <si>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</si>
  <si>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</si>
  <si>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</si>
  <si>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</si>
  <si>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</si>
  <si>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</si>
  <si>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</si>
  <si>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</si>
  <si>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</si>
  <si>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</si>
  <si>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</si>
  <si>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</si>
  <si>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</si>
  <si>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</si>
  <si>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</si>
  <si>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</si>
  <si>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</si>
  <si>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</si>
  <si>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</si>
  <si>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</si>
  <si>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</si>
  <si>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</si>
  <si>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</si>
  <si>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</si>
  <si>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</si>
  <si>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</si>
  <si>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</si>
  <si>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</si>
  <si>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</si>
  <si>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</si>
  <si>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</si>
  <si>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</si>
  <si>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</si>
  <si>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</si>
  <si>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</si>
  <si>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</si>
  <si>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</si>
  <si>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</si>
  <si>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</si>
  <si>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</si>
  <si>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</si>
  <si>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</si>
  <si>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</si>
  <si>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</si>
  <si>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</si>
  <si>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</si>
  <si>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</si>
  <si>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</si>
  <si>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</si>
  <si>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</si>
  <si>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</si>
  <si>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</si>
  <si>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</si>
  <si>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</si>
  <si>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</si>
  <si>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</si>
  <si>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</si>
  <si>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</si>
  <si>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</si>
  <si>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</si>
  <si>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</si>
  <si>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</si>
  <si>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</si>
  <si>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</si>
  <si>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</si>
  <si>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</si>
  <si>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</si>
  <si>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</si>
  <si>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</si>
  <si>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</si>
  <si>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</si>
  <si>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</si>
  <si>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</si>
  <si>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</si>
  <si>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</si>
  <si>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</si>
  <si>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</si>
  <si>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</si>
  <si>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</si>
  <si>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</si>
  <si>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</si>
  <si>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</si>
  <si>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</si>
  <si>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</si>
  <si>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</si>
  <si>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</si>
  <si>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</si>
  <si>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</si>
  <si>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</si>
  <si>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</si>
  <si>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</si>
  <si>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</si>
  <si>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</si>
  <si>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</si>
  <si>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</si>
  <si>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</si>
  <si>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</si>
  <si>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</si>
  <si>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</si>
  <si>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</si>
  <si>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</si>
  <si>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</si>
  <si>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</si>
  <si>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</si>
  <si>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</si>
  <si>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</si>
  <si>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</si>
  <si>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</si>
  <si>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</si>
  <si>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</si>
  <si>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</si>
  <si>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</si>
  <si>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</si>
  <si>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</si>
  <si>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</si>
  <si>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</si>
  <si>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</si>
  <si>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</si>
  <si>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</si>
  <si>
    <t>simulation_duration</t>
  </si>
  <si>
    <t>cop_finset_override</t>
  </si>
  <si>
    <t>rocket_cop_bias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</si>
</sst>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orbel"/>
      <family val="2"/>
      <scheme val="minor"/>
    </font>
    <font>
      <b/>
      <sz val="11"/>
      <color theme="0"/>
      <name val="Corbel"/>
      <family val="2"/>
      <scheme val="minor"/>
    </font>
    <font>
      <vertAlign val="superscript"/>
      <sz val="11"/>
      <color theme="1"/>
      <name val="Corbe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0" fontId="0" fillId="7" borderId="1" xfId="0" applyFill="1" applyBorder="1"/>
    <xf numFmtId="0" fontId="0" fillId="0" borderId="1" xfId="0" applyFill="1" applyBorder="1"/>
    <xf numFmtId="0" fontId="0" fillId="3" borderId="13" xfId="0" applyFill="1" applyBorder="1"/>
    <xf numFmtId="0" fontId="0" fillId="0" borderId="13" xfId="0" applyFill="1" applyBorder="1"/>
    <xf numFmtId="0" fontId="0" fillId="5" borderId="1" xfId="0" applyFill="1" applyBorder="1" applyAlignment="1">
      <alignment horizontal="center"/>
    </xf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11" fontId="0" fillId="10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Parallax">
  <a:themeElements>
    <a:clrScheme name="Parallax">
      <a:dk1>
        <a:sysClr val="windowText" lastClr="000000"/>
      </a:dk1>
      <a:lt1>
        <a:sysClr val="window" lastClr="FFFFFF"/>
      </a:lt1>
      <a:dk2>
        <a:srgbClr val="212121"/>
      </a:dk2>
      <a:lt2>
        <a:srgbClr val="CDD0D1"/>
      </a:lt2>
      <a:accent1>
        <a:srgbClr val="30ACEC"/>
      </a:accent1>
      <a:accent2>
        <a:srgbClr val="80C34F"/>
      </a:accent2>
      <a:accent3>
        <a:srgbClr val="E29D3E"/>
      </a:accent3>
      <a:accent4>
        <a:srgbClr val="D64A3B"/>
      </a:accent4>
      <a:accent5>
        <a:srgbClr val="D64787"/>
      </a:accent5>
      <a:accent6>
        <a:srgbClr val="A666E1"/>
      </a:accent6>
      <a:hlink>
        <a:srgbClr val="3085ED"/>
      </a:hlink>
      <a:folHlink>
        <a:srgbClr val="82B6F4"/>
      </a:folHlink>
    </a:clrScheme>
    <a:fontScheme name="Parallax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rallax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04000"/>
              </a:schemeClr>
            </a:gs>
            <a:gs pos="100000">
              <a:schemeClr val="phClr">
                <a:tint val="8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2000"/>
              </a:schemeClr>
            </a:gs>
            <a:gs pos="100000">
              <a:schemeClr val="phClr">
                <a:shade val="88000"/>
                <a:lumMod val="94000"/>
              </a:schemeClr>
            </a:gs>
          </a:gsLst>
          <a:path path="circle">
            <a:fillToRect l="50000" t="100000" r="100000" b="50000"/>
          </a:path>
        </a:gradFill>
      </a:fillStyleLst>
      <a:lnStyleLst>
        <a:ln w="9525" cap="rnd" cmpd="sng" algn="ctr">
          <a:solidFill>
            <a:schemeClr val="phClr">
              <a:tint val="6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reflection blurRad="12700" stA="26000" endPos="32000" dist="12700" dir="5400000" sy="-100000" rotWithShape="0"/>
          </a:effectLst>
        </a:effectStyle>
        <a:effectStyle>
          <a:effectLst>
            <a:outerShdw blurRad="38100" dist="25400" dir="5400000" rotWithShape="0">
              <a:srgbClr val="000000">
                <a:alpha val="6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254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98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shade val="76000"/>
                <a:satMod val="180000"/>
              </a:schemeClr>
              <a:schemeClr val="phClr">
                <a:tint val="80000"/>
                <a:satMod val="120000"/>
                <a:lumMod val="18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allax" id="{3388167B-A2EB-4685-9635-1831D9AEF8C4}" vid="{4F7A876A-7598-49CA-AFC8-8EDA2551E4A7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" defaultRowHeight="15" x14ac:dyDescent="0.25"/>
  <cols>
    <col min="1" max="1" width="3" style="1" customWidth="1"/>
    <col min="2" max="2" width="25" style="4" customWidth="1"/>
    <col min="3" max="4" width="9" style="3"/>
    <col min="5" max="5" width="28.625" style="4" customWidth="1"/>
    <col min="6" max="16384" width="9" style="1"/>
  </cols>
  <sheetData>
    <row r="1" spans="1:7" x14ac:dyDescent="0.25">
      <c r="A1" s="23"/>
      <c r="B1" s="23"/>
      <c r="C1" s="18"/>
      <c r="D1" s="18"/>
      <c r="E1" s="23"/>
      <c r="F1" s="23"/>
      <c r="G1" s="23"/>
    </row>
    <row r="2" spans="1:7" x14ac:dyDescent="0.25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25">
      <c r="B3" s="4" t="s">
        <v>57</v>
      </c>
      <c r="C3" s="3">
        <v>51.5</v>
      </c>
      <c r="D3" s="3" t="s">
        <v>3</v>
      </c>
    </row>
    <row r="4" spans="1:7" x14ac:dyDescent="0.25">
      <c r="B4" s="4" t="s">
        <v>58</v>
      </c>
      <c r="C4" s="3">
        <v>3</v>
      </c>
      <c r="D4" s="3" t="s">
        <v>3</v>
      </c>
    </row>
    <row r="5" spans="1:7" x14ac:dyDescent="0.25">
      <c r="B5" s="4" t="s">
        <v>59</v>
      </c>
      <c r="C5" s="3">
        <v>3.1749999999999998</v>
      </c>
      <c r="D5" s="3" t="s">
        <v>3</v>
      </c>
    </row>
    <row r="6" spans="1:7" x14ac:dyDescent="0.25">
      <c r="B6" s="4" t="s">
        <v>60</v>
      </c>
      <c r="C6" s="3">
        <v>95</v>
      </c>
      <c r="D6" s="3" t="s">
        <v>3</v>
      </c>
    </row>
    <row r="7" spans="1:7" x14ac:dyDescent="0.25">
      <c r="B7" s="4" t="s">
        <v>61</v>
      </c>
      <c r="C7" s="3">
        <v>280</v>
      </c>
      <c r="D7" s="3" t="s">
        <v>3</v>
      </c>
    </row>
    <row r="8" spans="1:7" x14ac:dyDescent="0.25">
      <c r="B8" s="4" t="s">
        <v>62</v>
      </c>
      <c r="C8" s="3">
        <v>100</v>
      </c>
      <c r="D8" s="3" t="s">
        <v>3</v>
      </c>
    </row>
    <row r="9" spans="1:7" x14ac:dyDescent="0.25">
      <c r="B9" s="4" t="s">
        <v>63</v>
      </c>
      <c r="C9" s="3">
        <v>160</v>
      </c>
      <c r="D9" s="3" t="s">
        <v>3</v>
      </c>
    </row>
    <row r="10" spans="1:7" x14ac:dyDescent="0.25">
      <c r="B10" s="4" t="s">
        <v>64</v>
      </c>
      <c r="C10" s="25">
        <v>750</v>
      </c>
      <c r="D10" s="3" t="s">
        <v>3</v>
      </c>
    </row>
    <row r="11" spans="1:7" x14ac:dyDescent="0.25">
      <c r="B11" s="4" t="s">
        <v>65</v>
      </c>
      <c r="C11" s="25">
        <v>350</v>
      </c>
      <c r="D11" s="3" t="s">
        <v>3</v>
      </c>
    </row>
    <row r="12" spans="1:7" x14ac:dyDescent="0.25">
      <c r="B12" s="4" t="s">
        <v>66</v>
      </c>
      <c r="C12" s="25">
        <v>1260</v>
      </c>
      <c r="D12" s="3" t="s">
        <v>3</v>
      </c>
    </row>
    <row r="13" spans="1:7" x14ac:dyDescent="0.25">
      <c r="B13" s="4" t="s">
        <v>67</v>
      </c>
      <c r="C13" s="3">
        <v>508</v>
      </c>
      <c r="D13" s="3" t="s">
        <v>3</v>
      </c>
    </row>
    <row r="14" spans="1:7" x14ac:dyDescent="0.25">
      <c r="B14" s="4" t="s">
        <v>68</v>
      </c>
      <c r="C14" s="25">
        <v>100</v>
      </c>
      <c r="D14" s="3" t="s">
        <v>3</v>
      </c>
    </row>
    <row r="15" spans="1:7" x14ac:dyDescent="0.25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5" x14ac:dyDescent="0.25"/>
  <cols>
    <col min="1" max="1" width="20.75" customWidth="1"/>
  </cols>
  <sheetData>
    <row r="1" spans="1:2" x14ac:dyDescent="0.25">
      <c r="A1" t="s">
        <v>95</v>
      </c>
    </row>
    <row r="2" spans="1:2" x14ac:dyDescent="0.25">
      <c r="A2" t="s">
        <v>18</v>
      </c>
      <c r="B2">
        <v>1260</v>
      </c>
    </row>
    <row r="3" spans="1:2" x14ac:dyDescent="0.25">
      <c r="A3" t="s">
        <v>36</v>
      </c>
      <c r="B3">
        <v>52</v>
      </c>
    </row>
    <row r="4" spans="1:2" x14ac:dyDescent="0.25">
      <c r="A4" t="s">
        <v>37</v>
      </c>
      <c r="B4">
        <v>1.9999999999999987</v>
      </c>
    </row>
    <row r="5" spans="1:2" x14ac:dyDescent="0.25">
      <c r="A5" t="s">
        <v>69</v>
      </c>
      <c r="B5">
        <v>100</v>
      </c>
    </row>
    <row r="6" spans="1:2" x14ac:dyDescent="0.25">
      <c r="A6" t="s">
        <v>21</v>
      </c>
      <c r="B6">
        <v>2</v>
      </c>
    </row>
    <row r="7" spans="1:2" x14ac:dyDescent="0.25">
      <c r="A7" t="s">
        <v>23</v>
      </c>
      <c r="B7">
        <v>52.000000000000007</v>
      </c>
    </row>
    <row r="8" spans="1:2" x14ac:dyDescent="0.25">
      <c r="A8" t="s">
        <v>20</v>
      </c>
      <c r="B8">
        <v>2</v>
      </c>
    </row>
    <row r="9" spans="1:2" x14ac:dyDescent="0.25">
      <c r="A9" t="s">
        <v>19</v>
      </c>
      <c r="B9">
        <v>500</v>
      </c>
    </row>
    <row r="10" spans="1:2" x14ac:dyDescent="0.25">
      <c r="A10" t="s">
        <v>16</v>
      </c>
      <c r="B10">
        <v>750</v>
      </c>
    </row>
    <row r="11" spans="1:2" x14ac:dyDescent="0.25">
      <c r="A11" t="s">
        <v>34</v>
      </c>
      <c r="B11">
        <v>52</v>
      </c>
    </row>
    <row r="12" spans="1:2" x14ac:dyDescent="0.25">
      <c r="A12" t="s">
        <v>35</v>
      </c>
      <c r="B12">
        <v>1.9999999999999978</v>
      </c>
    </row>
    <row r="13" spans="1:2" x14ac:dyDescent="0.25">
      <c r="A13" t="s">
        <v>22</v>
      </c>
      <c r="B13">
        <v>350</v>
      </c>
    </row>
    <row r="14" spans="1:2" x14ac:dyDescent="0.25">
      <c r="A14" t="s">
        <v>32</v>
      </c>
      <c r="B14">
        <v>52</v>
      </c>
    </row>
    <row r="15" spans="1:2" x14ac:dyDescent="0.25">
      <c r="A15" t="s">
        <v>33</v>
      </c>
      <c r="B15">
        <v>1.9999999999999987</v>
      </c>
    </row>
    <row r="16" spans="1:2" x14ac:dyDescent="0.25">
      <c r="A16" t="s">
        <v>14</v>
      </c>
      <c r="B16">
        <v>3.1749999999999998</v>
      </c>
    </row>
    <row r="17" spans="1:2" x14ac:dyDescent="0.25">
      <c r="A17" t="s">
        <v>12</v>
      </c>
      <c r="B17">
        <v>100</v>
      </c>
    </row>
    <row r="18" spans="1:2" x14ac:dyDescent="0.25">
      <c r="A18" t="s">
        <v>15</v>
      </c>
      <c r="B18">
        <v>230</v>
      </c>
    </row>
    <row r="19" spans="1:2" x14ac:dyDescent="0.25">
      <c r="A19" t="s">
        <v>13</v>
      </c>
      <c r="B19">
        <v>95</v>
      </c>
    </row>
    <row r="20" spans="1:2" x14ac:dyDescent="0.25">
      <c r="A20" t="s">
        <v>11</v>
      </c>
      <c r="B20">
        <v>350</v>
      </c>
    </row>
    <row r="21" spans="1:2" x14ac:dyDescent="0.25">
      <c r="A21" t="s">
        <v>24</v>
      </c>
      <c r="B21">
        <v>300</v>
      </c>
    </row>
    <row r="22" spans="1:2" x14ac:dyDescent="0.25">
      <c r="A22" t="s">
        <v>25</v>
      </c>
      <c r="B22">
        <v>10</v>
      </c>
    </row>
    <row r="23" spans="1:2" x14ac:dyDescent="0.25">
      <c r="A23" t="s">
        <v>26</v>
      </c>
      <c r="B23">
        <v>20</v>
      </c>
    </row>
    <row r="24" spans="1:2" x14ac:dyDescent="0.25">
      <c r="A24" t="s">
        <v>28</v>
      </c>
      <c r="B24">
        <v>148.78</v>
      </c>
    </row>
    <row r="25" spans="1:2" x14ac:dyDescent="0.25">
      <c r="A25" t="s">
        <v>27</v>
      </c>
      <c r="B25">
        <v>12</v>
      </c>
    </row>
    <row r="26" spans="1:2" x14ac:dyDescent="0.25">
      <c r="A26" t="s">
        <v>29</v>
      </c>
      <c r="B26">
        <v>52</v>
      </c>
    </row>
    <row r="27" spans="1:2" x14ac:dyDescent="0.25">
      <c r="A27" t="s">
        <v>31</v>
      </c>
      <c r="B27">
        <v>4</v>
      </c>
    </row>
    <row r="28" spans="1:2" x14ac:dyDescent="0.25">
      <c r="A28" t="s">
        <v>30</v>
      </c>
      <c r="B28">
        <v>90</v>
      </c>
    </row>
    <row r="29" spans="1:2" x14ac:dyDescent="0.25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abSelected="1" workbookViewId="0">
      <selection activeCell="D13" sqref="D13"/>
    </sheetView>
  </sheetViews>
  <sheetFormatPr defaultRowHeight="15" x14ac:dyDescent="0.25"/>
  <cols>
    <col min="1" max="1" width="28.5" customWidth="1"/>
    <col min="3" max="3" width="6.75" customWidth="1"/>
    <col min="4" max="4" width="30.75" customWidth="1"/>
    <col min="5" max="5" width="11.625" customWidth="1"/>
  </cols>
  <sheetData>
    <row r="1" spans="1:5" x14ac:dyDescent="0.25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25">
      <c r="A2" s="27"/>
      <c r="B2" s="27"/>
      <c r="C2" s="27"/>
      <c r="D2" s="27"/>
      <c r="E2" s="27"/>
    </row>
    <row r="3" spans="1:5" x14ac:dyDescent="0.25">
      <c r="A3" s="36" t="s">
        <v>73</v>
      </c>
      <c r="B3" s="36">
        <f>PARAMETERS!C6/1000*PARAMETERS!C5/1000</f>
        <v>3.0162499999999997E-4</v>
      </c>
      <c r="C3" s="36" t="s">
        <v>74</v>
      </c>
      <c r="D3" s="36" t="s">
        <v>112</v>
      </c>
      <c r="E3" s="36"/>
    </row>
    <row r="4" spans="1:5" x14ac:dyDescent="0.25">
      <c r="A4" s="36" t="s">
        <v>75</v>
      </c>
      <c r="B4" s="36">
        <f>B40</f>
        <v>1.805E-2</v>
      </c>
      <c r="C4" s="36" t="s">
        <v>74</v>
      </c>
      <c r="D4" s="36" t="s">
        <v>112</v>
      </c>
      <c r="E4" s="36"/>
    </row>
    <row r="5" spans="1:5" x14ac:dyDescent="0.25">
      <c r="A5" s="36" t="s">
        <v>76</v>
      </c>
      <c r="B5" s="36">
        <f>PARAMETERS!C7*0.001</f>
        <v>0.28000000000000003</v>
      </c>
      <c r="C5" s="36" t="s">
        <v>77</v>
      </c>
      <c r="D5" s="36" t="s">
        <v>113</v>
      </c>
      <c r="E5" s="36"/>
    </row>
    <row r="6" spans="1:5" x14ac:dyDescent="0.25">
      <c r="A6" s="36" t="s">
        <v>78</v>
      </c>
      <c r="B6" s="36">
        <f>PARAMETERS!C4</f>
        <v>3</v>
      </c>
      <c r="C6" s="36" t="s">
        <v>79</v>
      </c>
      <c r="D6" s="36"/>
      <c r="E6" s="36"/>
    </row>
    <row r="7" spans="1:5" x14ac:dyDescent="0.25">
      <c r="A7" s="36" t="s">
        <v>80</v>
      </c>
      <c r="B7" s="36">
        <f>PARAMETERS!C5*0.001</f>
        <v>3.1749999999999999E-3</v>
      </c>
      <c r="C7" s="36" t="s">
        <v>77</v>
      </c>
      <c r="D7" s="36"/>
      <c r="E7" s="36"/>
    </row>
    <row r="8" spans="1:5" x14ac:dyDescent="0.25">
      <c r="A8" s="36" t="s">
        <v>82</v>
      </c>
      <c r="B8" s="36">
        <f>PARAMETERS!C6*0.001</f>
        <v>9.5000000000000001E-2</v>
      </c>
      <c r="C8" s="36" t="s">
        <v>77</v>
      </c>
      <c r="D8" s="36"/>
      <c r="E8" s="36"/>
    </row>
    <row r="9" spans="1:5" x14ac:dyDescent="0.25">
      <c r="A9" s="36" t="s">
        <v>89</v>
      </c>
      <c r="B9" s="36">
        <f>ATAN(PARAMETERS!C6/PARAMETERS!C9)</f>
        <v>0.5358112379604637</v>
      </c>
      <c r="C9" s="36" t="s">
        <v>90</v>
      </c>
      <c r="D9" s="36"/>
      <c r="E9" s="36"/>
    </row>
    <row r="10" spans="1:5" x14ac:dyDescent="0.25">
      <c r="A10" s="36" t="s">
        <v>96</v>
      </c>
      <c r="B10" s="36">
        <f>(ATAN(PARAMETERS!C9/PARAMETERS!C6)+PI()/2)*(180/PI())</f>
        <v>149.30027744918559</v>
      </c>
      <c r="C10" s="36" t="s">
        <v>39</v>
      </c>
      <c r="D10" s="36" t="s">
        <v>97</v>
      </c>
      <c r="E10" s="36"/>
    </row>
    <row r="11" spans="1:5" x14ac:dyDescent="0.25">
      <c r="A11" s="36" t="s">
        <v>171</v>
      </c>
      <c r="B11" s="36">
        <f>PARAMETERS!C9/1000</f>
        <v>0.16</v>
      </c>
      <c r="C11" s="36" t="s">
        <v>77</v>
      </c>
      <c r="D11" s="36"/>
      <c r="E11" s="36"/>
    </row>
    <row r="12" spans="1:5" x14ac:dyDescent="0.25">
      <c r="A12" s="36" t="s">
        <v>131</v>
      </c>
      <c r="B12" s="36">
        <v>0.118004</v>
      </c>
      <c r="C12" s="36" t="s">
        <v>77</v>
      </c>
      <c r="D12" s="36" t="s">
        <v>136</v>
      </c>
      <c r="E12" s="36"/>
    </row>
    <row r="13" spans="1:5" x14ac:dyDescent="0.25">
      <c r="A13" s="36" t="s">
        <v>132</v>
      </c>
      <c r="B13" s="36">
        <f>PARAMETERS!C7*0.001</f>
        <v>0.28000000000000003</v>
      </c>
      <c r="C13" s="36" t="s">
        <v>77</v>
      </c>
      <c r="D13" s="36"/>
      <c r="E13" s="36"/>
    </row>
    <row r="14" spans="1:5" x14ac:dyDescent="0.25">
      <c r="A14" s="36" t="s">
        <v>133</v>
      </c>
      <c r="B14" s="36">
        <f>PARAMETERS!C8*0.001</f>
        <v>0.1</v>
      </c>
      <c r="C14" s="36" t="s">
        <v>77</v>
      </c>
      <c r="D14" s="36"/>
      <c r="E14" s="36"/>
    </row>
    <row r="15" spans="1:5" x14ac:dyDescent="0.25">
      <c r="A15" s="35" t="s">
        <v>147</v>
      </c>
      <c r="B15" s="35">
        <f>(B18/2)^2*PI()</f>
        <v>8.3322891154835269E-3</v>
      </c>
      <c r="C15" s="35" t="s">
        <v>74</v>
      </c>
      <c r="D15" s="35"/>
      <c r="E15" s="35"/>
    </row>
    <row r="16" spans="1:5" x14ac:dyDescent="0.25">
      <c r="A16" s="35" t="s">
        <v>81</v>
      </c>
      <c r="B16" s="35">
        <f>0.107+0.004</f>
        <v>0.111</v>
      </c>
      <c r="C16" s="35" t="s">
        <v>74</v>
      </c>
      <c r="D16" s="35"/>
      <c r="E16" s="35"/>
    </row>
    <row r="17" spans="1:5" x14ac:dyDescent="0.25">
      <c r="A17" s="35" t="s">
        <v>101</v>
      </c>
      <c r="B17" s="35">
        <v>0.50800000000000001</v>
      </c>
      <c r="C17" s="35" t="s">
        <v>77</v>
      </c>
      <c r="D17" s="35">
        <f>B17*25.4</f>
        <v>12.9032</v>
      </c>
      <c r="E17" s="35"/>
    </row>
    <row r="18" spans="1:5" x14ac:dyDescent="0.25">
      <c r="A18" s="37" t="s">
        <v>83</v>
      </c>
      <c r="B18" s="37">
        <v>0.10299999999999999</v>
      </c>
      <c r="C18" s="37" t="s">
        <v>77</v>
      </c>
      <c r="D18" s="37"/>
      <c r="E18" s="37"/>
    </row>
    <row r="19" spans="1:5" x14ac:dyDescent="0.25">
      <c r="A19" s="34" t="s">
        <v>84</v>
      </c>
      <c r="B19" s="38">
        <v>2.0000000000000002E-5</v>
      </c>
      <c r="C19" s="34" t="s">
        <v>77</v>
      </c>
      <c r="D19" s="34"/>
      <c r="E19" s="34"/>
    </row>
    <row r="20" spans="1:5" x14ac:dyDescent="0.25">
      <c r="A20" s="34" t="s">
        <v>85</v>
      </c>
      <c r="B20" s="34">
        <v>2.5146670000000002</v>
      </c>
      <c r="C20" s="34" t="s">
        <v>77</v>
      </c>
      <c r="D20" s="34" t="s">
        <v>111</v>
      </c>
      <c r="E20" s="34"/>
    </row>
    <row r="21" spans="1:5" x14ac:dyDescent="0.25">
      <c r="A21" s="34" t="s">
        <v>93</v>
      </c>
      <c r="B21" s="34">
        <v>13.153</v>
      </c>
      <c r="C21" s="34" t="s">
        <v>94</v>
      </c>
      <c r="D21" s="34" t="s">
        <v>144</v>
      </c>
      <c r="E21" s="34"/>
    </row>
    <row r="22" spans="1:5" x14ac:dyDescent="0.25">
      <c r="A22" s="34" t="s">
        <v>87</v>
      </c>
      <c r="B22" s="34">
        <v>1.59</v>
      </c>
      <c r="C22" s="34" t="s">
        <v>77</v>
      </c>
      <c r="D22" s="34" t="s">
        <v>111</v>
      </c>
      <c r="E22" s="34"/>
    </row>
    <row r="23" spans="1:5" x14ac:dyDescent="0.25">
      <c r="A23" s="34" t="s">
        <v>88</v>
      </c>
      <c r="B23" s="34">
        <v>1.9</v>
      </c>
      <c r="C23" s="34" t="s">
        <v>77</v>
      </c>
      <c r="D23" s="34" t="s">
        <v>111</v>
      </c>
      <c r="E23" s="34"/>
    </row>
    <row r="24" spans="1:5" x14ac:dyDescent="0.25">
      <c r="A24" s="33" t="s">
        <v>99</v>
      </c>
      <c r="B24" s="33">
        <v>101325</v>
      </c>
      <c r="C24" s="33" t="s">
        <v>86</v>
      </c>
      <c r="D24" s="33">
        <v>101100</v>
      </c>
      <c r="E24" s="33"/>
    </row>
    <row r="25" spans="1:5" x14ac:dyDescent="0.25">
      <c r="A25" s="33" t="s">
        <v>100</v>
      </c>
      <c r="B25" s="33">
        <v>288.14999999999998</v>
      </c>
      <c r="C25" s="33" t="s">
        <v>114</v>
      </c>
      <c r="D25" s="33">
        <v>310.14999999999998</v>
      </c>
      <c r="E25" s="33"/>
    </row>
    <row r="26" spans="1:5" x14ac:dyDescent="0.25">
      <c r="A26" s="33" t="s">
        <v>140</v>
      </c>
      <c r="B26" s="33">
        <f>D26*PI()/180</f>
        <v>0.17453292519943295</v>
      </c>
      <c r="C26" s="33" t="s">
        <v>39</v>
      </c>
      <c r="D26" s="33">
        <v>10</v>
      </c>
      <c r="E26" s="33" t="s">
        <v>39</v>
      </c>
    </row>
    <row r="27" spans="1:5" x14ac:dyDescent="0.25">
      <c r="A27" s="33" t="s">
        <v>163</v>
      </c>
      <c r="B27" s="33">
        <f>18/3.28</f>
        <v>5.4878048780487809</v>
      </c>
      <c r="C27" s="33" t="s">
        <v>77</v>
      </c>
      <c r="D27" s="33"/>
      <c r="E27" s="33"/>
    </row>
    <row r="28" spans="1:5" x14ac:dyDescent="0.25">
      <c r="A28" s="33" t="s">
        <v>91</v>
      </c>
      <c r="B28" s="33">
        <v>1.61E-2</v>
      </c>
      <c r="C28" s="33" t="s">
        <v>77</v>
      </c>
      <c r="D28" s="33" t="s">
        <v>148</v>
      </c>
      <c r="E28" s="33"/>
    </row>
    <row r="29" spans="1:5" x14ac:dyDescent="0.25">
      <c r="A29" s="33" t="s">
        <v>92</v>
      </c>
      <c r="B29" s="33">
        <v>0</v>
      </c>
      <c r="C29" s="33" t="s">
        <v>77</v>
      </c>
      <c r="D29" s="33"/>
      <c r="E29" s="33"/>
    </row>
    <row r="30" spans="1:5" x14ac:dyDescent="0.25">
      <c r="A30" s="33" t="s">
        <v>98</v>
      </c>
      <c r="B30" s="33">
        <v>1243</v>
      </c>
      <c r="C30" s="33" t="s">
        <v>77</v>
      </c>
      <c r="D30" s="33"/>
      <c r="E30" s="33"/>
    </row>
    <row r="31" spans="1:5" x14ac:dyDescent="0.25">
      <c r="A31" s="26" t="s">
        <v>102</v>
      </c>
      <c r="B31" s="26">
        <f>B44-B37</f>
        <v>26.126972999999992</v>
      </c>
      <c r="C31" s="26" t="s">
        <v>103</v>
      </c>
      <c r="D31" s="26">
        <f>B31/9.81</f>
        <v>2.6632999999999991</v>
      </c>
      <c r="E31" s="26" t="s">
        <v>109</v>
      </c>
    </row>
    <row r="32" spans="1:5" x14ac:dyDescent="0.25">
      <c r="A32" s="26" t="s">
        <v>141</v>
      </c>
      <c r="B32" s="26">
        <f>B31/9.81</f>
        <v>2.6632999999999991</v>
      </c>
      <c r="C32" s="26" t="s">
        <v>109</v>
      </c>
      <c r="D32" s="26"/>
      <c r="E32" s="26"/>
    </row>
    <row r="33" spans="1:5" x14ac:dyDescent="0.25">
      <c r="A33" s="26" t="s">
        <v>104</v>
      </c>
      <c r="B33" s="26">
        <f>B31-B42</f>
        <v>0</v>
      </c>
      <c r="C33" s="26" t="s">
        <v>103</v>
      </c>
      <c r="D33" s="26">
        <f>B33/9.81</f>
        <v>0</v>
      </c>
      <c r="E33" s="26" t="s">
        <v>109</v>
      </c>
    </row>
    <row r="34" spans="1:5" x14ac:dyDescent="0.25">
      <c r="A34" s="26" t="s">
        <v>105</v>
      </c>
      <c r="B34" s="26">
        <f>(B31-B33)/B46/9.81</f>
        <v>0.83567618449952918</v>
      </c>
      <c r="C34" s="26" t="s">
        <v>106</v>
      </c>
      <c r="D34" s="26"/>
      <c r="E34" s="26">
        <f>B43/B46</f>
        <v>0.83567618449952941</v>
      </c>
    </row>
    <row r="35" spans="1:5" x14ac:dyDescent="0.25">
      <c r="A35" s="26" t="s">
        <v>122</v>
      </c>
      <c r="B35" s="26">
        <f>B43*9.81/B46</f>
        <v>8.197983369940383</v>
      </c>
      <c r="C35" s="26" t="s">
        <v>124</v>
      </c>
      <c r="D35" s="26" t="s">
        <v>123</v>
      </c>
      <c r="E35" s="26"/>
    </row>
    <row r="36" spans="1:5" x14ac:dyDescent="0.25">
      <c r="A36" s="26" t="s">
        <v>107</v>
      </c>
      <c r="B36" s="26">
        <f>B37/9.81</f>
        <v>15.502700000000001</v>
      </c>
      <c r="C36" s="26" t="s">
        <v>109</v>
      </c>
      <c r="D36" s="26"/>
      <c r="E36" s="26">
        <f>(B44-B42)/9.81</f>
        <v>15.502700000000001</v>
      </c>
    </row>
    <row r="37" spans="1:5" x14ac:dyDescent="0.25">
      <c r="A37" s="26" t="s">
        <v>108</v>
      </c>
      <c r="B37" s="26">
        <f>B44-B42</f>
        <v>152.08148700000001</v>
      </c>
      <c r="C37" s="26" t="s">
        <v>103</v>
      </c>
      <c r="D37" s="26"/>
      <c r="E37" s="26">
        <f>(B44-B42)</f>
        <v>152.08148700000001</v>
      </c>
    </row>
    <row r="38" spans="1:5" x14ac:dyDescent="0.25">
      <c r="A38" s="26" t="s">
        <v>142</v>
      </c>
      <c r="B38" s="26">
        <v>1.4731000000000001</v>
      </c>
      <c r="C38" s="26" t="s">
        <v>77</v>
      </c>
      <c r="D38" s="28" t="s">
        <v>169</v>
      </c>
      <c r="E38" s="26"/>
    </row>
    <row r="39" spans="1:5" x14ac:dyDescent="0.25">
      <c r="A39" s="26" t="s">
        <v>145</v>
      </c>
      <c r="B39" s="26">
        <v>11.632</v>
      </c>
      <c r="C39" s="26" t="s">
        <v>94</v>
      </c>
      <c r="D39" s="26" t="s">
        <v>146</v>
      </c>
      <c r="E39" s="26"/>
    </row>
    <row r="40" spans="1:5" x14ac:dyDescent="0.25">
      <c r="A40" s="26" t="s">
        <v>110</v>
      </c>
      <c r="B40" s="26">
        <f>(PARAMETERS!C7/1000+PARAMETERS!C8/1000)/2*PARAMETERS!C6/1000</f>
        <v>1.805E-2</v>
      </c>
      <c r="C40" s="26" t="s">
        <v>74</v>
      </c>
      <c r="D40" s="26"/>
      <c r="E40" s="26"/>
    </row>
    <row r="41" spans="1:5" x14ac:dyDescent="0.25">
      <c r="A41" s="4" t="s">
        <v>115</v>
      </c>
      <c r="B41" s="4">
        <f>B16</f>
        <v>0.111</v>
      </c>
      <c r="C41" s="4" t="s">
        <v>74</v>
      </c>
      <c r="D41" s="4" t="s">
        <v>136</v>
      </c>
      <c r="E41" s="26"/>
    </row>
    <row r="42" spans="1:5" x14ac:dyDescent="0.25">
      <c r="A42" s="26" t="s">
        <v>116</v>
      </c>
      <c r="B42" s="26">
        <f>B43*9.81</f>
        <v>26.126973</v>
      </c>
      <c r="C42" s="26" t="s">
        <v>103</v>
      </c>
      <c r="D42" s="26"/>
      <c r="E42" s="26"/>
    </row>
    <row r="43" spans="1:5" x14ac:dyDescent="0.25">
      <c r="A43" s="26" t="s">
        <v>118</v>
      </c>
      <c r="B43" s="26">
        <v>2.6633</v>
      </c>
      <c r="C43" s="26" t="s">
        <v>109</v>
      </c>
      <c r="D43" s="26"/>
      <c r="E43" s="26"/>
    </row>
    <row r="44" spans="1:5" x14ac:dyDescent="0.25">
      <c r="A44" s="26" t="s">
        <v>117</v>
      </c>
      <c r="B44" s="26">
        <f>B45*9.81</f>
        <v>178.20846</v>
      </c>
      <c r="C44" s="26" t="s">
        <v>103</v>
      </c>
      <c r="D44" s="26">
        <f>B31+B37</f>
        <v>178.20846</v>
      </c>
      <c r="E44" s="26"/>
    </row>
    <row r="45" spans="1:5" x14ac:dyDescent="0.25">
      <c r="A45" s="26" t="s">
        <v>119</v>
      </c>
      <c r="B45" s="26">
        <v>18.166</v>
      </c>
      <c r="C45" s="26" t="s">
        <v>109</v>
      </c>
      <c r="D45" s="26">
        <f>(B31+B37)/9.81</f>
        <v>18.166</v>
      </c>
      <c r="E45" s="26"/>
    </row>
    <row r="46" spans="1:5" x14ac:dyDescent="0.25">
      <c r="A46" s="26" t="s">
        <v>121</v>
      </c>
      <c r="B46" s="26">
        <v>3.1869999999999998</v>
      </c>
      <c r="C46" s="26" t="s">
        <v>120</v>
      </c>
      <c r="D46" s="26"/>
      <c r="E46" s="26"/>
    </row>
    <row r="47" spans="1:5" x14ac:dyDescent="0.25">
      <c r="A47" s="26" t="s">
        <v>125</v>
      </c>
      <c r="B47" s="26">
        <f>2*B8+B18</f>
        <v>0.29299999999999998</v>
      </c>
      <c r="C47" s="26" t="s">
        <v>77</v>
      </c>
      <c r="D47" s="26" t="s">
        <v>129</v>
      </c>
      <c r="E47" s="26"/>
    </row>
    <row r="48" spans="1:5" x14ac:dyDescent="0.25">
      <c r="A48" s="4" t="s">
        <v>126</v>
      </c>
      <c r="B48" s="4">
        <f>B40</f>
        <v>1.805E-2</v>
      </c>
      <c r="C48" s="4" t="s">
        <v>74</v>
      </c>
      <c r="D48" s="4" t="s">
        <v>128</v>
      </c>
      <c r="E48" s="26"/>
    </row>
    <row r="49" spans="1:5" x14ac:dyDescent="0.25">
      <c r="A49" s="4" t="s">
        <v>127</v>
      </c>
      <c r="B49" s="4">
        <f>B48</f>
        <v>1.805E-2</v>
      </c>
      <c r="C49" s="4" t="s">
        <v>74</v>
      </c>
      <c r="D49" s="4" t="s">
        <v>136</v>
      </c>
      <c r="E49" s="26"/>
    </row>
    <row r="50" spans="1:5" x14ac:dyDescent="0.25">
      <c r="A50" s="4" t="s">
        <v>149</v>
      </c>
      <c r="B50" s="4">
        <f>B48+0.5*B18*[1]PARAMETERS!C7/1000</f>
        <v>3.2469999999999999E-2</v>
      </c>
      <c r="C50" s="4" t="s">
        <v>74</v>
      </c>
      <c r="D50" s="4" t="s">
        <v>150</v>
      </c>
      <c r="E50" s="26"/>
    </row>
    <row r="51" spans="1:5" x14ac:dyDescent="0.25">
      <c r="A51" s="4" t="s">
        <v>130</v>
      </c>
      <c r="B51" s="4">
        <v>2.234667</v>
      </c>
      <c r="C51" s="4" t="s">
        <v>77</v>
      </c>
      <c r="D51" s="4" t="s">
        <v>136</v>
      </c>
      <c r="E51" s="26"/>
    </row>
    <row r="52" spans="1:5" x14ac:dyDescent="0.25">
      <c r="A52" s="4" t="s">
        <v>151</v>
      </c>
      <c r="B52" s="4">
        <f>0.5*[1]Matlab_Data!B10*2*COS(PI()/6)*[1]Matlab_Data!B48 + B49*COS(PI()/6)*2</f>
        <v>5.6239689721761452E-2</v>
      </c>
      <c r="C52" s="4" t="s">
        <v>74</v>
      </c>
      <c r="D52" s="4" t="s">
        <v>152</v>
      </c>
      <c r="E52" s="26"/>
    </row>
    <row r="53" spans="1:5" x14ac:dyDescent="0.25">
      <c r="A53" s="4" t="s">
        <v>153</v>
      </c>
      <c r="B53" s="4">
        <v>6.9000000000000006E-2</v>
      </c>
      <c r="C53" s="4" t="s">
        <v>74</v>
      </c>
      <c r="D53" s="4"/>
      <c r="E53" s="26"/>
    </row>
    <row r="54" spans="1:5" x14ac:dyDescent="0.25">
      <c r="A54" s="4" t="s">
        <v>154</v>
      </c>
      <c r="B54" s="4">
        <f>(B51-B17)*B18</f>
        <v>0.177846701</v>
      </c>
      <c r="C54" s="4" t="s">
        <v>74</v>
      </c>
      <c r="D54" s="4" t="s">
        <v>155</v>
      </c>
      <c r="E54" s="26"/>
    </row>
    <row r="55" spans="1:5" x14ac:dyDescent="0.25">
      <c r="A55" s="4" t="s">
        <v>134</v>
      </c>
      <c r="B55" s="4">
        <f>SUM(B52:B54)</f>
        <v>0.30308639072176147</v>
      </c>
      <c r="C55" s="4" t="s">
        <v>74</v>
      </c>
      <c r="D55" s="4" t="s">
        <v>136</v>
      </c>
      <c r="E55" s="26"/>
    </row>
    <row r="56" spans="1:5" x14ac:dyDescent="0.25">
      <c r="A56" s="4" t="s">
        <v>135</v>
      </c>
      <c r="B56" s="4">
        <v>2.5178129999999999</v>
      </c>
      <c r="C56" s="4" t="s">
        <v>77</v>
      </c>
      <c r="D56" s="4" t="s">
        <v>136</v>
      </c>
      <c r="E56" s="26"/>
    </row>
    <row r="57" spans="1:5" x14ac:dyDescent="0.25">
      <c r="A57" s="4" t="s">
        <v>137</v>
      </c>
      <c r="B57" s="4">
        <v>0.621</v>
      </c>
      <c r="C57" s="4" t="s">
        <v>77</v>
      </c>
      <c r="D57" s="4"/>
      <c r="E57" s="26"/>
    </row>
    <row r="58" spans="1:5" x14ac:dyDescent="0.25">
      <c r="A58" s="4" t="s">
        <v>138</v>
      </c>
      <c r="B58" s="4">
        <f>B59+(B20-B57)</f>
        <v>2.204167</v>
      </c>
      <c r="C58" s="4" t="s">
        <v>77</v>
      </c>
      <c r="D58" s="4"/>
      <c r="E58" s="26"/>
    </row>
    <row r="59" spans="1:5" x14ac:dyDescent="0.25">
      <c r="A59" s="4" t="s">
        <v>143</v>
      </c>
      <c r="B59" s="4">
        <f>B57/2</f>
        <v>0.3105</v>
      </c>
      <c r="C59" s="4" t="s">
        <v>77</v>
      </c>
      <c r="D59" s="4" t="s">
        <v>139</v>
      </c>
      <c r="E59" s="26"/>
    </row>
    <row r="60" spans="1:5" x14ac:dyDescent="0.25">
      <c r="A60" s="4" t="s">
        <v>156</v>
      </c>
      <c r="B60" s="26">
        <f>(B51+(B20-B51)/2)</f>
        <v>2.3746670000000001</v>
      </c>
      <c r="C60" s="26"/>
      <c r="D60" s="4" t="s">
        <v>160</v>
      </c>
      <c r="E60" s="26"/>
    </row>
    <row r="61" spans="1:5" x14ac:dyDescent="0.25">
      <c r="A61" s="4" t="s">
        <v>157</v>
      </c>
      <c r="B61" s="26">
        <f>2/3*B17</f>
        <v>0.33866666666666667</v>
      </c>
      <c r="C61" s="26"/>
      <c r="D61" s="4" t="s">
        <v>159</v>
      </c>
      <c r="E61" s="26"/>
    </row>
    <row r="62" spans="1:5" x14ac:dyDescent="0.25">
      <c r="A62" s="4" t="s">
        <v>158</v>
      </c>
      <c r="B62" s="26">
        <f>(B51-B17)/2</f>
        <v>0.86333349999999998</v>
      </c>
      <c r="C62" s="26"/>
      <c r="D62" s="26"/>
      <c r="E62" s="26"/>
    </row>
    <row r="63" spans="1:5" x14ac:dyDescent="0.25">
      <c r="A63" s="4" t="s">
        <v>161</v>
      </c>
      <c r="B63" s="26">
        <f>(B60*B52+B61*B53+B62*B54)/B55</f>
        <v>1.0243269233269428</v>
      </c>
      <c r="C63" s="26"/>
      <c r="D63" s="26"/>
      <c r="E63" s="26"/>
    </row>
    <row r="64" spans="1:5" x14ac:dyDescent="0.25">
      <c r="A64" s="4" t="s">
        <v>162</v>
      </c>
      <c r="B64" s="26">
        <f>D64*PI()/180</f>
        <v>0.17453292519943295</v>
      </c>
      <c r="C64" s="26" t="s">
        <v>90</v>
      </c>
      <c r="D64" s="26">
        <v>10</v>
      </c>
      <c r="E64" s="26" t="s">
        <v>168</v>
      </c>
    </row>
    <row r="65" spans="1:5" x14ac:dyDescent="0.25">
      <c r="A65" s="4" t="s">
        <v>164</v>
      </c>
      <c r="B65" s="26">
        <v>0.12</v>
      </c>
      <c r="C65" s="26" t="s">
        <v>120</v>
      </c>
      <c r="D65" s="26"/>
      <c r="E65" s="26"/>
    </row>
    <row r="66" spans="1:5" x14ac:dyDescent="0.25">
      <c r="A66" s="4" t="s">
        <v>165</v>
      </c>
      <c r="B66" s="26">
        <f>B64/1</f>
        <v>0.17453292519943295</v>
      </c>
      <c r="C66" s="26"/>
      <c r="D66" s="26"/>
      <c r="E66" s="26"/>
    </row>
    <row r="67" spans="1:5" x14ac:dyDescent="0.25">
      <c r="A67" s="4" t="s">
        <v>166</v>
      </c>
      <c r="B67" s="26">
        <f>PI()/2</f>
        <v>1.5707963267948966</v>
      </c>
      <c r="C67" s="26"/>
      <c r="D67" s="26"/>
      <c r="E67" s="26"/>
    </row>
    <row r="68" spans="1:5" x14ac:dyDescent="0.25">
      <c r="A68" s="4" t="s">
        <v>167</v>
      </c>
      <c r="B68" s="26">
        <v>0.02</v>
      </c>
      <c r="C68" s="26"/>
      <c r="D68" s="26"/>
      <c r="E68" s="26"/>
    </row>
    <row r="69" spans="1:5" x14ac:dyDescent="0.25">
      <c r="A69" s="4" t="s">
        <v>170</v>
      </c>
      <c r="B69" s="26">
        <v>0.01</v>
      </c>
      <c r="C69" s="26" t="s">
        <v>120</v>
      </c>
      <c r="D69" s="26"/>
      <c r="E69" s="26"/>
    </row>
    <row r="70" spans="1:5" x14ac:dyDescent="0.25">
      <c r="A70" s="4" t="s">
        <v>174</v>
      </c>
      <c r="B70" s="26">
        <v>25</v>
      </c>
      <c r="C70" s="26" t="s">
        <v>120</v>
      </c>
      <c r="D70" s="26"/>
      <c r="E70" s="26"/>
    </row>
    <row r="71" spans="1:5" x14ac:dyDescent="0.25">
      <c r="A71" s="4" t="s">
        <v>172</v>
      </c>
      <c r="B71" s="29">
        <v>-1.5</v>
      </c>
      <c r="C71" s="26"/>
      <c r="D71" s="26" t="s">
        <v>173</v>
      </c>
      <c r="E71" s="26"/>
    </row>
    <row r="72" spans="1:5" x14ac:dyDescent="0.25">
      <c r="A72" s="4" t="s">
        <v>175</v>
      </c>
      <c r="B72" s="29">
        <v>2.42</v>
      </c>
      <c r="C72" s="26" t="s">
        <v>77</v>
      </c>
      <c r="D72" s="26"/>
      <c r="E72" s="26"/>
    </row>
    <row r="73" spans="1:5" x14ac:dyDescent="0.25">
      <c r="A73" s="30" t="s">
        <v>176</v>
      </c>
      <c r="B73" s="31">
        <v>7.0000000000000007E-2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" defaultRowHeight="15" x14ac:dyDescent="0.25"/>
  <cols>
    <col min="1" max="1" width="2.875" style="1" customWidth="1"/>
    <col min="2" max="2" width="9" style="1"/>
    <col min="3" max="3" width="12.25" style="20" customWidth="1"/>
    <col min="4" max="16384" width="9" style="1"/>
  </cols>
  <sheetData>
    <row r="2" spans="2:5" x14ac:dyDescent="0.25">
      <c r="B2" s="32" t="s">
        <v>42</v>
      </c>
      <c r="C2" s="32"/>
      <c r="D2" s="32"/>
    </row>
    <row r="3" spans="2:5" x14ac:dyDescent="0.25">
      <c r="B3" s="13" t="s">
        <v>2</v>
      </c>
      <c r="C3" s="17">
        <v>-8.9333187642457608E-14</v>
      </c>
      <c r="D3" s="9" t="s">
        <v>3</v>
      </c>
    </row>
    <row r="4" spans="2:5" x14ac:dyDescent="0.25">
      <c r="B4" s="14" t="s">
        <v>4</v>
      </c>
      <c r="C4" s="18">
        <v>1.0591036969562888E-16</v>
      </c>
      <c r="D4" s="10" t="s">
        <v>3</v>
      </c>
    </row>
    <row r="5" spans="2:5" x14ac:dyDescent="0.25">
      <c r="B5" s="15" t="s">
        <v>5</v>
      </c>
      <c r="C5" s="19">
        <v>-1573.0178886933611</v>
      </c>
      <c r="D5" s="11" t="s">
        <v>3</v>
      </c>
    </row>
    <row r="7" spans="2:5" x14ac:dyDescent="0.25">
      <c r="B7" s="32" t="s">
        <v>43</v>
      </c>
      <c r="C7" s="32"/>
      <c r="D7" s="32"/>
    </row>
    <row r="8" spans="2:5" ht="17.25" x14ac:dyDescent="0.25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7.25" x14ac:dyDescent="0.25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7.25" x14ac:dyDescent="0.25">
      <c r="B10" s="15" t="s">
        <v>46</v>
      </c>
      <c r="C10" s="19">
        <f>(C8+C9)/2</f>
        <v>10.971991427260733</v>
      </c>
      <c r="D10" s="11" t="s">
        <v>49</v>
      </c>
    </row>
    <row r="11" spans="2:5" x14ac:dyDescent="0.25">
      <c r="C11" s="21"/>
    </row>
    <row r="12" spans="2:5" x14ac:dyDescent="0.25">
      <c r="B12" s="32" t="s">
        <v>47</v>
      </c>
      <c r="C12" s="32"/>
      <c r="D12" s="32"/>
    </row>
    <row r="13" spans="2:5" ht="17.25" x14ac:dyDescent="0.25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5" x14ac:dyDescent="0.25"/>
  <cols>
    <col min="1" max="1" width="22.5" customWidth="1"/>
    <col min="2" max="2" width="13.25" customWidth="1"/>
    <col min="4" max="4" width="9.875" customWidth="1"/>
    <col min="5" max="5" width="20.625" customWidth="1"/>
    <col min="7" max="7" width="21.875" customWidth="1"/>
  </cols>
  <sheetData>
    <row r="1" spans="1:7" x14ac:dyDescent="0.25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25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25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25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25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25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25">
      <c r="A7" s="5" t="s">
        <v>21</v>
      </c>
      <c r="B7" s="3">
        <v>2</v>
      </c>
      <c r="C7" s="3" t="s">
        <v>3</v>
      </c>
      <c r="D7" s="3"/>
      <c r="E7" s="4"/>
    </row>
    <row r="8" spans="1:7" x14ac:dyDescent="0.25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25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25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25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25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25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25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25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25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25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25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25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25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25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25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25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25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25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25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25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25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25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custom</cp:lastModifiedBy>
  <dcterms:created xsi:type="dcterms:W3CDTF">2015-02-15T19:59:55Z</dcterms:created>
  <dcterms:modified xsi:type="dcterms:W3CDTF">2016-05-17T16:47:12Z</dcterms:modified>
</cp:coreProperties>
</file>