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8" l="1"/>
  <c r="B46" i="18" l="1"/>
  <c r="B45" i="18" l="1"/>
  <c r="D22" i="18" l="1"/>
  <c r="B26" i="18" l="1"/>
  <c r="E25" i="18"/>
  <c r="B33" i="18"/>
  <c r="B31" i="18"/>
  <c r="B28" i="18" l="1"/>
  <c r="B2" i="18"/>
  <c r="B3" i="18" l="1"/>
  <c r="B39" i="18"/>
  <c r="B40" i="18" s="1"/>
  <c r="B23" i="18"/>
  <c r="B27" i="18"/>
  <c r="E28" i="18"/>
  <c r="E27" i="18"/>
  <c r="B4" i="18"/>
  <c r="B20" i="18"/>
  <c r="B8" i="18"/>
  <c r="B38" i="18" s="1"/>
  <c r="B5" i="18"/>
  <c r="B6" i="18"/>
  <c r="B24" i="18" l="1"/>
  <c r="D24" i="18" s="1"/>
  <c r="D23" i="18"/>
  <c r="D33" i="18"/>
  <c r="D34" i="18"/>
  <c r="B20" i="15"/>
  <c r="B25" i="18" l="1"/>
  <c r="B5" i="15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<sst xmlns="http://schemas.openxmlformats.org/spreadsheetml/2006/main" count="259" uniqueCount="141">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</sst>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8" sqref="C8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6"/>
  <sheetViews>
    <sheetView tabSelected="1" workbookViewId="0">
      <selection activeCell="A6" sqref="A6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123</v>
      </c>
      <c r="B26">
        <f>B32*9.81/B35</f>
        <v>8.197983369940383</v>
      </c>
      <c r="C26" t="s">
        <v>125</v>
      </c>
      <c r="D26" t="s">
        <v>124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140</v>
      </c>
    </row>
    <row r="31" spans="1:5" x14ac:dyDescent="0.55000000000000004">
      <c r="A31" t="s">
        <v>117</v>
      </c>
      <c r="B31">
        <f>B32*9.81</f>
        <v>26.126973</v>
      </c>
      <c r="C31" t="s">
        <v>104</v>
      </c>
    </row>
    <row r="32" spans="1:5" x14ac:dyDescent="0.55000000000000004">
      <c r="A32" t="s">
        <v>119</v>
      </c>
      <c r="B32">
        <v>2.6633</v>
      </c>
      <c r="C32" t="s">
        <v>110</v>
      </c>
    </row>
    <row r="33" spans="1:4" x14ac:dyDescent="0.55000000000000004">
      <c r="A33" t="s">
        <v>118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120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122</v>
      </c>
      <c r="B35">
        <v>3.1869999999999998</v>
      </c>
      <c r="C35" t="s">
        <v>121</v>
      </c>
    </row>
    <row r="36" spans="1:4" x14ac:dyDescent="0.55000000000000004">
      <c r="A36" s="26" t="s">
        <v>130</v>
      </c>
      <c r="B36" s="26">
        <v>1</v>
      </c>
      <c r="C36" s="26"/>
      <c r="D36" s="26" t="s">
        <v>131</v>
      </c>
    </row>
    <row r="37" spans="1:4" x14ac:dyDescent="0.55000000000000004">
      <c r="A37" s="26" t="s">
        <v>129</v>
      </c>
      <c r="B37" s="26">
        <v>1</v>
      </c>
      <c r="C37" s="26"/>
      <c r="D37" s="26" t="s">
        <v>131</v>
      </c>
    </row>
    <row r="38" spans="1:4" x14ac:dyDescent="0.55000000000000004">
      <c r="A38" t="s">
        <v>126</v>
      </c>
      <c r="B38">
        <f>2*B8+B9</f>
        <v>0.29299999999999998</v>
      </c>
      <c r="C38" t="s">
        <v>77</v>
      </c>
      <c r="D38" t="s">
        <v>133</v>
      </c>
    </row>
    <row r="39" spans="1:4" x14ac:dyDescent="0.55000000000000004">
      <c r="A39" s="26" t="s">
        <v>127</v>
      </c>
      <c r="B39" s="26">
        <f>B29</f>
        <v>2.1374999999999998E-2</v>
      </c>
      <c r="C39" s="26" t="s">
        <v>74</v>
      </c>
      <c r="D39" s="26" t="s">
        <v>132</v>
      </c>
    </row>
    <row r="40" spans="1:4" x14ac:dyDescent="0.55000000000000004">
      <c r="A40" s="26" t="s">
        <v>128</v>
      </c>
      <c r="B40" s="26">
        <f>B39</f>
        <v>2.1374999999999998E-2</v>
      </c>
      <c r="C40" s="26" t="s">
        <v>74</v>
      </c>
      <c r="D40" s="26" t="s">
        <v>140</v>
      </c>
    </row>
    <row r="41" spans="1:4" x14ac:dyDescent="0.55000000000000004">
      <c r="A41" s="26" t="s">
        <v>134</v>
      </c>
      <c r="B41" s="26">
        <v>1</v>
      </c>
      <c r="C41" s="26" t="s">
        <v>77</v>
      </c>
      <c r="D41" s="26" t="s">
        <v>140</v>
      </c>
    </row>
    <row r="42" spans="1:4" x14ac:dyDescent="0.55000000000000004">
      <c r="A42" s="26" t="s">
        <v>135</v>
      </c>
      <c r="B42" s="26">
        <v>1</v>
      </c>
      <c r="C42" s="26" t="s">
        <v>77</v>
      </c>
      <c r="D42" s="26" t="s">
        <v>140</v>
      </c>
    </row>
    <row r="43" spans="1:4" x14ac:dyDescent="0.55000000000000004">
      <c r="A43" s="26" t="s">
        <v>136</v>
      </c>
      <c r="B43" s="26">
        <v>1</v>
      </c>
      <c r="C43" s="26" t="s">
        <v>77</v>
      </c>
      <c r="D43" s="26" t="s">
        <v>131</v>
      </c>
    </row>
    <row r="44" spans="1:4" x14ac:dyDescent="0.55000000000000004">
      <c r="A44" s="26" t="s">
        <v>137</v>
      </c>
      <c r="B44" s="26">
        <v>1</v>
      </c>
      <c r="C44" s="26" t="s">
        <v>77</v>
      </c>
      <c r="D44" s="26" t="s">
        <v>131</v>
      </c>
    </row>
    <row r="45" spans="1:4" x14ac:dyDescent="0.55000000000000004">
      <c r="A45" s="26" t="s">
        <v>138</v>
      </c>
      <c r="B45" s="26">
        <f>B9*B11</f>
        <v>0.26573999999999998</v>
      </c>
      <c r="C45" s="26" t="s">
        <v>74</v>
      </c>
      <c r="D45" s="26" t="s">
        <v>140</v>
      </c>
    </row>
    <row r="46" spans="1:4" x14ac:dyDescent="0.55000000000000004">
      <c r="A46" s="26" t="s">
        <v>139</v>
      </c>
      <c r="B46" s="26">
        <f>B11</f>
        <v>2.58</v>
      </c>
      <c r="C46" s="26" t="s">
        <v>77</v>
      </c>
      <c r="D46" s="26" t="s">
        <v>140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topLeftCell="A4"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2016-01-10T23:38:19Z</dcterms:modified>
</cp:coreProperties>
</file>