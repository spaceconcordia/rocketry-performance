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<sst xmlns="http://schemas.openxmlformats.org/spreadsheetml/2006/main" count="291" uniqueCount="161">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</sst>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6">
        <v>750</v>
      </c>
      <c r="D10" s="3" t="s">
        <v>3</v>
      </c>
    </row>
    <row r="11" spans="1:7" x14ac:dyDescent="0.55000000000000004">
      <c r="B11" s="4" t="s">
        <v>65</v>
      </c>
      <c r="C11" s="26">
        <v>350</v>
      </c>
      <c r="D11" s="3" t="s">
        <v>3</v>
      </c>
    </row>
    <row r="12" spans="1:7" x14ac:dyDescent="0.55000000000000004">
      <c r="B12" s="4" t="s">
        <v>66</v>
      </c>
      <c r="C12" s="26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6">
        <v>100</v>
      </c>
      <c r="D14" s="3" t="s">
        <v>3</v>
      </c>
    </row>
    <row r="15" spans="1:7" x14ac:dyDescent="0.55000000000000004">
      <c r="B15" s="4" t="s">
        <v>70</v>
      </c>
      <c r="C15" s="26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8"/>
  <sheetViews>
    <sheetView tabSelected="1" workbookViewId="0"/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8" t="s">
        <v>71</v>
      </c>
      <c r="B1" s="28" t="s">
        <v>0</v>
      </c>
      <c r="C1" s="28" t="s">
        <v>72</v>
      </c>
      <c r="D1" s="28" t="s">
        <v>1</v>
      </c>
      <c r="E1" s="28"/>
    </row>
    <row r="2" spans="1:5" x14ac:dyDescent="0.55000000000000004">
      <c r="A2" s="4" t="s">
        <v>73</v>
      </c>
      <c r="B2" s="27">
        <f>PARAMETERS!C6/1000*PARAMETERS!C5/1000</f>
        <v>3.0162499999999997E-4</v>
      </c>
      <c r="C2" s="27" t="s">
        <v>74</v>
      </c>
      <c r="D2" s="27" t="s">
        <v>112</v>
      </c>
      <c r="E2" s="27"/>
    </row>
    <row r="3" spans="1:5" x14ac:dyDescent="0.55000000000000004">
      <c r="A3" s="4" t="s">
        <v>75</v>
      </c>
      <c r="B3" s="27">
        <f>B33</f>
        <v>1.805E-2</v>
      </c>
      <c r="C3" s="27" t="s">
        <v>74</v>
      </c>
      <c r="D3" s="27" t="s">
        <v>112</v>
      </c>
      <c r="E3" s="27"/>
    </row>
    <row r="4" spans="1:5" x14ac:dyDescent="0.55000000000000004">
      <c r="A4" s="4" t="s">
        <v>76</v>
      </c>
      <c r="B4" s="27">
        <f>PARAMETERS!C7*0.001</f>
        <v>0.28000000000000003</v>
      </c>
      <c r="C4" s="27" t="s">
        <v>77</v>
      </c>
      <c r="D4" s="27" t="s">
        <v>113</v>
      </c>
      <c r="E4" s="27"/>
    </row>
    <row r="5" spans="1:5" x14ac:dyDescent="0.55000000000000004">
      <c r="A5" s="4" t="s">
        <v>78</v>
      </c>
      <c r="B5" s="27">
        <f>PARAMETERS!C4</f>
        <v>3</v>
      </c>
      <c r="C5" s="27" t="s">
        <v>79</v>
      </c>
      <c r="D5" s="27"/>
      <c r="E5" s="27"/>
    </row>
    <row r="6" spans="1:5" x14ac:dyDescent="0.55000000000000004">
      <c r="A6" s="4" t="s">
        <v>80</v>
      </c>
      <c r="B6" s="27">
        <f>PARAMETERS!C5*0.001</f>
        <v>3.1749999999999999E-3</v>
      </c>
      <c r="C6" s="27" t="s">
        <v>77</v>
      </c>
      <c r="D6" s="27"/>
      <c r="E6" s="27"/>
    </row>
    <row r="7" spans="1:5" x14ac:dyDescent="0.55000000000000004">
      <c r="A7" s="4" t="s">
        <v>152</v>
      </c>
      <c r="B7" s="27">
        <f>(B10/2)^2*PI()</f>
        <v>8.3322891154835269E-3</v>
      </c>
      <c r="C7" s="27" t="s">
        <v>74</v>
      </c>
      <c r="D7" s="27"/>
      <c r="E7" s="27"/>
    </row>
    <row r="8" spans="1:5" x14ac:dyDescent="0.55000000000000004">
      <c r="A8" s="4" t="s">
        <v>81</v>
      </c>
      <c r="B8" s="27">
        <f>0.107+0.004</f>
        <v>0.111</v>
      </c>
      <c r="C8" s="27" t="s">
        <v>74</v>
      </c>
      <c r="D8" s="27"/>
      <c r="E8" s="27"/>
    </row>
    <row r="9" spans="1:5" x14ac:dyDescent="0.55000000000000004">
      <c r="A9" s="4" t="s">
        <v>82</v>
      </c>
      <c r="B9" s="27">
        <f>PARAMETERS!C6*0.001</f>
        <v>9.5000000000000001E-2</v>
      </c>
      <c r="C9" s="27" t="s">
        <v>77</v>
      </c>
      <c r="D9" s="27"/>
      <c r="E9" s="27"/>
    </row>
    <row r="10" spans="1:5" x14ac:dyDescent="0.55000000000000004">
      <c r="A10" s="4" t="s">
        <v>83</v>
      </c>
      <c r="B10" s="27">
        <v>0.10299999999999999</v>
      </c>
      <c r="C10" s="27" t="s">
        <v>77</v>
      </c>
      <c r="D10" s="27"/>
      <c r="E10" s="27"/>
    </row>
    <row r="11" spans="1:5" x14ac:dyDescent="0.55000000000000004">
      <c r="A11" s="4" t="s">
        <v>84</v>
      </c>
      <c r="B11" s="29">
        <v>2.0000000000000002E-5</v>
      </c>
      <c r="C11" s="27" t="s">
        <v>77</v>
      </c>
      <c r="D11" s="27"/>
      <c r="E11" s="27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7"/>
    </row>
    <row r="13" spans="1:5" x14ac:dyDescent="0.55000000000000004">
      <c r="A13" s="27" t="s">
        <v>99</v>
      </c>
      <c r="B13" s="27">
        <v>101325</v>
      </c>
      <c r="C13" s="27" t="s">
        <v>86</v>
      </c>
      <c r="D13" s="27">
        <v>101100</v>
      </c>
      <c r="E13" s="27"/>
    </row>
    <row r="14" spans="1:5" x14ac:dyDescent="0.55000000000000004">
      <c r="A14" s="27" t="s">
        <v>100</v>
      </c>
      <c r="B14" s="27">
        <v>288.14999999999998</v>
      </c>
      <c r="C14" s="27" t="s">
        <v>114</v>
      </c>
      <c r="D14" s="27">
        <v>310.14999999999998</v>
      </c>
      <c r="E14" s="27"/>
    </row>
    <row r="15" spans="1:5" x14ac:dyDescent="0.55000000000000004">
      <c r="A15" s="30" t="s">
        <v>87</v>
      </c>
      <c r="B15" s="30">
        <v>1.6</v>
      </c>
      <c r="C15" s="30" t="s">
        <v>77</v>
      </c>
      <c r="D15" s="30" t="s">
        <v>111</v>
      </c>
      <c r="E15" s="27"/>
    </row>
    <row r="16" spans="1:5" x14ac:dyDescent="0.55000000000000004">
      <c r="A16" s="30" t="s">
        <v>88</v>
      </c>
      <c r="B16" s="30">
        <v>1.9</v>
      </c>
      <c r="C16" s="30" t="s">
        <v>77</v>
      </c>
      <c r="D16" s="30" t="s">
        <v>111</v>
      </c>
      <c r="E16" s="27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7"/>
    </row>
    <row r="18" spans="1:5" x14ac:dyDescent="0.55000000000000004">
      <c r="A18" s="27" t="s">
        <v>91</v>
      </c>
      <c r="B18" s="27">
        <v>1.61E-2</v>
      </c>
      <c r="C18" s="27" t="s">
        <v>77</v>
      </c>
      <c r="D18" s="27" t="s">
        <v>153</v>
      </c>
      <c r="E18" s="27"/>
    </row>
    <row r="19" spans="1:5" x14ac:dyDescent="0.55000000000000004">
      <c r="A19" s="27" t="s">
        <v>92</v>
      </c>
      <c r="B19" s="27">
        <v>0</v>
      </c>
      <c r="C19" s="27" t="s">
        <v>77</v>
      </c>
      <c r="D19" s="27"/>
      <c r="E19" s="27"/>
    </row>
    <row r="20" spans="1:5" x14ac:dyDescent="0.55000000000000004">
      <c r="A20" s="27" t="s">
        <v>93</v>
      </c>
      <c r="B20" s="27">
        <v>13</v>
      </c>
      <c r="C20" s="27" t="s">
        <v>94</v>
      </c>
      <c r="D20" s="27" t="s">
        <v>149</v>
      </c>
      <c r="E20" s="27"/>
    </row>
    <row r="21" spans="1:5" x14ac:dyDescent="0.55000000000000004">
      <c r="A21" s="27" t="s">
        <v>96</v>
      </c>
      <c r="B21" s="27">
        <f>(ATAN(PARAMETERS!C9/PARAMETERS!C6)+PI()/2)*(180/PI())</f>
        <v>149.30027744918559</v>
      </c>
      <c r="C21" s="27" t="s">
        <v>39</v>
      </c>
      <c r="D21" s="27" t="s">
        <v>97</v>
      </c>
      <c r="E21" s="27"/>
    </row>
    <row r="22" spans="1:5" x14ac:dyDescent="0.55000000000000004">
      <c r="A22" s="27" t="s">
        <v>98</v>
      </c>
      <c r="B22" s="27">
        <v>1243</v>
      </c>
      <c r="C22" s="27" t="s">
        <v>77</v>
      </c>
      <c r="D22" s="27"/>
      <c r="E22" s="27"/>
    </row>
    <row r="23" spans="1:5" x14ac:dyDescent="0.55000000000000004">
      <c r="A23" s="27" t="s">
        <v>101</v>
      </c>
      <c r="B23" s="27">
        <v>0.50800000000000001</v>
      </c>
      <c r="C23" s="27" t="s">
        <v>77</v>
      </c>
      <c r="D23" s="27">
        <f>B23*25.4</f>
        <v>12.9032</v>
      </c>
      <c r="E23" s="27"/>
    </row>
    <row r="24" spans="1:5" x14ac:dyDescent="0.55000000000000004">
      <c r="A24" s="27" t="s">
        <v>102</v>
      </c>
      <c r="B24" s="27">
        <f>B37-B30</f>
        <v>26.126972999999992</v>
      </c>
      <c r="C24" s="27" t="s">
        <v>103</v>
      </c>
      <c r="D24" s="27">
        <f>B24/9.81</f>
        <v>2.6632999999999991</v>
      </c>
      <c r="E24" s="27" t="s">
        <v>109</v>
      </c>
    </row>
    <row r="25" spans="1:5" x14ac:dyDescent="0.55000000000000004">
      <c r="A25" s="27" t="s">
        <v>145</v>
      </c>
      <c r="B25" s="27">
        <f>B24/9.81</f>
        <v>2.6632999999999991</v>
      </c>
      <c r="C25" s="27" t="s">
        <v>109</v>
      </c>
      <c r="D25" s="27"/>
      <c r="E25" s="27"/>
    </row>
    <row r="26" spans="1:5" x14ac:dyDescent="0.55000000000000004">
      <c r="A26" s="27" t="s">
        <v>104</v>
      </c>
      <c r="B26" s="27">
        <f>B24-B35</f>
        <v>0</v>
      </c>
      <c r="C26" s="27" t="s">
        <v>103</v>
      </c>
      <c r="D26" s="27">
        <f>B26/9.81</f>
        <v>0</v>
      </c>
      <c r="E26" s="27" t="s">
        <v>109</v>
      </c>
    </row>
    <row r="27" spans="1:5" x14ac:dyDescent="0.55000000000000004">
      <c r="A27" s="27" t="s">
        <v>105</v>
      </c>
      <c r="B27" s="27">
        <f>(B24-B26)/B39/9.81</f>
        <v>0.83567618449952918</v>
      </c>
      <c r="C27" s="27" t="s">
        <v>106</v>
      </c>
      <c r="D27" s="27"/>
      <c r="E27" s="27">
        <f>B36/B39</f>
        <v>0.83567618449952941</v>
      </c>
    </row>
    <row r="28" spans="1:5" x14ac:dyDescent="0.55000000000000004">
      <c r="A28" s="27" t="s">
        <v>122</v>
      </c>
      <c r="B28" s="27">
        <f>B36*9.81/B39</f>
        <v>8.197983369940383</v>
      </c>
      <c r="C28" s="27" t="s">
        <v>124</v>
      </c>
      <c r="D28" s="27" t="s">
        <v>123</v>
      </c>
      <c r="E28" s="27"/>
    </row>
    <row r="29" spans="1:5" x14ac:dyDescent="0.55000000000000004">
      <c r="A29" s="27" t="s">
        <v>107</v>
      </c>
      <c r="B29" s="27">
        <f>B30/9.81</f>
        <v>14.835699999999999</v>
      </c>
      <c r="C29" s="27" t="s">
        <v>109</v>
      </c>
      <c r="D29" s="27"/>
      <c r="E29" s="27">
        <f>(B37-B35)/9.81</f>
        <v>14.835699999999999</v>
      </c>
    </row>
    <row r="30" spans="1:5" x14ac:dyDescent="0.55000000000000004">
      <c r="A30" s="27" t="s">
        <v>108</v>
      </c>
      <c r="B30" s="27">
        <f>B37-B35</f>
        <v>145.538217</v>
      </c>
      <c r="C30" s="27" t="s">
        <v>103</v>
      </c>
      <c r="D30" s="27"/>
      <c r="E30" s="27">
        <f>(B37-B35)</f>
        <v>145.538217</v>
      </c>
    </row>
    <row r="31" spans="1:5" x14ac:dyDescent="0.55000000000000004">
      <c r="A31" s="27" t="s">
        <v>146</v>
      </c>
      <c r="B31" s="27">
        <v>1.4858</v>
      </c>
      <c r="C31" s="27" t="s">
        <v>77</v>
      </c>
      <c r="D31" s="27"/>
      <c r="E31" s="27"/>
    </row>
    <row r="32" spans="1:5" x14ac:dyDescent="0.55000000000000004">
      <c r="A32" s="27" t="s">
        <v>150</v>
      </c>
      <c r="B32" s="27">
        <v>11.6</v>
      </c>
      <c r="C32" s="27" t="s">
        <v>94</v>
      </c>
      <c r="D32" s="27" t="s">
        <v>151</v>
      </c>
      <c r="E32" s="27"/>
    </row>
    <row r="33" spans="1:5" x14ac:dyDescent="0.55000000000000004">
      <c r="A33" s="27" t="s">
        <v>110</v>
      </c>
      <c r="B33" s="27">
        <f>(PARAMETERS!C7/1000+PARAMETERS!C8/1000)/2*PARAMETERS!C6/1000</f>
        <v>1.805E-2</v>
      </c>
      <c r="C33" s="27" t="s">
        <v>74</v>
      </c>
      <c r="D33" s="27"/>
      <c r="E33" s="27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7"/>
    </row>
    <row r="35" spans="1:5" x14ac:dyDescent="0.55000000000000004">
      <c r="A35" s="27" t="s">
        <v>116</v>
      </c>
      <c r="B35" s="27">
        <f>B36*9.81</f>
        <v>26.126973</v>
      </c>
      <c r="C35" s="27" t="s">
        <v>103</v>
      </c>
      <c r="D35" s="27"/>
      <c r="E35" s="27"/>
    </row>
    <row r="36" spans="1:5" x14ac:dyDescent="0.55000000000000004">
      <c r="A36" s="27" t="s">
        <v>118</v>
      </c>
      <c r="B36" s="27">
        <v>2.6633</v>
      </c>
      <c r="C36" s="27" t="s">
        <v>109</v>
      </c>
      <c r="D36" s="27"/>
      <c r="E36" s="27"/>
    </row>
    <row r="37" spans="1:5" x14ac:dyDescent="0.55000000000000004">
      <c r="A37" s="27" t="s">
        <v>117</v>
      </c>
      <c r="B37" s="27">
        <f>B38*9.81</f>
        <v>171.66519</v>
      </c>
      <c r="C37" s="27" t="s">
        <v>103</v>
      </c>
      <c r="D37" s="27">
        <f>B24+B30</f>
        <v>171.66519</v>
      </c>
      <c r="E37" s="27"/>
    </row>
    <row r="38" spans="1:5" x14ac:dyDescent="0.55000000000000004">
      <c r="A38" s="27" t="s">
        <v>119</v>
      </c>
      <c r="B38" s="27">
        <v>17.498999999999999</v>
      </c>
      <c r="C38" s="27" t="s">
        <v>109</v>
      </c>
      <c r="D38" s="27">
        <f>(B24+B30)/9.81</f>
        <v>17.498999999999999</v>
      </c>
      <c r="E38" s="27"/>
    </row>
    <row r="39" spans="1:5" x14ac:dyDescent="0.55000000000000004">
      <c r="A39" s="27" t="s">
        <v>121</v>
      </c>
      <c r="B39" s="27">
        <v>3.1869999999999998</v>
      </c>
      <c r="C39" s="27" t="s">
        <v>120</v>
      </c>
      <c r="D39" s="27"/>
      <c r="E39" s="27"/>
    </row>
    <row r="40" spans="1:5" x14ac:dyDescent="0.55000000000000004">
      <c r="A40" s="30" t="s">
        <v>129</v>
      </c>
      <c r="B40" s="30">
        <v>1</v>
      </c>
      <c r="C40" s="30"/>
      <c r="D40" s="30" t="s">
        <v>130</v>
      </c>
      <c r="E40" s="27"/>
    </row>
    <row r="41" spans="1:5" x14ac:dyDescent="0.55000000000000004">
      <c r="A41" s="30" t="s">
        <v>128</v>
      </c>
      <c r="B41" s="30">
        <v>1</v>
      </c>
      <c r="C41" s="30"/>
      <c r="D41" s="30" t="s">
        <v>130</v>
      </c>
      <c r="E41" s="27"/>
    </row>
    <row r="42" spans="1:5" x14ac:dyDescent="0.55000000000000004">
      <c r="A42" s="27" t="s">
        <v>125</v>
      </c>
      <c r="B42" s="27">
        <f>2*B9+B10</f>
        <v>0.29299999999999998</v>
      </c>
      <c r="C42" s="27" t="s">
        <v>77</v>
      </c>
      <c r="D42" s="27" t="s">
        <v>132</v>
      </c>
      <c r="E42" s="27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7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7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7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7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7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 t="s">
        <v>130</v>
      </c>
      <c r="E48" s="27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 t="s">
        <v>130</v>
      </c>
      <c r="E49" s="27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7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7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7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7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7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7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7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7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5" t="s">
        <v>42</v>
      </c>
      <c r="C2" s="25"/>
      <c r="D2" s="25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5" t="s">
        <v>43</v>
      </c>
      <c r="C7" s="25"/>
      <c r="D7" s="25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5" t="s">
        <v>47</v>
      </c>
      <c r="C12" s="25"/>
      <c r="D12" s="25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2016-01-15T22:39:48Z</dcterms:modified>
</cp:coreProperties>
</file>