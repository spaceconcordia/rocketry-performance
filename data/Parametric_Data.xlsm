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8" l="1"/>
  <c r="B10" i="18" l="1"/>
  <c r="B68" i="18" l="1"/>
  <c r="B26" i="18" l="1"/>
  <c r="B61" i="18" l="1"/>
  <c r="B63" i="18"/>
  <c r="B62" i="18"/>
  <c r="B55" i="18" l="1"/>
  <c r="B8" i="18"/>
  <c r="B15" i="18"/>
  <c r="B40" i="18" s="1"/>
  <c r="B14" i="18"/>
  <c r="B9" i="18" l="1"/>
  <c r="B34" i="18"/>
  <c r="B39" i="18"/>
  <c r="B49" i="18" s="1"/>
  <c r="B41" i="18"/>
  <c r="B43" i="18"/>
  <c r="B12" i="18"/>
  <c r="B13" i="18"/>
  <c r="B60" i="18"/>
  <c r="B59" i="18" s="1"/>
  <c r="B50" i="18" l="1"/>
  <c r="B53" i="18" s="1"/>
  <c r="B51" i="18"/>
  <c r="B36" i="18"/>
  <c r="B35" i="18" s="1"/>
  <c r="D29" i="18"/>
  <c r="B56" i="18" l="1"/>
  <c r="B64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8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  <c r="B67" i="18" s="1"/>
</calcChain>
</file>

<file path=xl/sharedStrings.xml><?xml version="1.0" encoding="utf-8"?>
<sst xmlns="http://schemas.openxmlformats.org/spreadsheetml/2006/main" count="310" uniqueCount="177">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</sst>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1"/>
  <sheetViews>
    <sheetView tabSelected="1" topLeftCell="A53" workbookViewId="0">
      <selection activeCell="D66" sqref="D66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174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134</v>
      </c>
      <c r="B11" s="4">
        <v>0.118004</v>
      </c>
      <c r="C11" s="4" t="s">
        <v>77</v>
      </c>
      <c r="D11" s="4" t="s">
        <v>139</v>
      </c>
      <c r="E11" s="26"/>
    </row>
    <row r="12" spans="1:5" x14ac:dyDescent="0.55000000000000004">
      <c r="A12" s="4" t="s">
        <v>135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136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150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143</v>
      </c>
      <c r="B23" s="4">
        <f>D23*PI()/180</f>
        <v>0</v>
      </c>
      <c r="C23" s="4" t="s">
        <v>39</v>
      </c>
      <c r="D23" s="4">
        <v>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151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166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147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144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145</v>
      </c>
      <c r="B37" s="26">
        <v>1.4731000000000001</v>
      </c>
      <c r="C37" s="26" t="s">
        <v>77</v>
      </c>
      <c r="D37" s="29" t="s">
        <v>172</v>
      </c>
      <c r="E37" s="26"/>
    </row>
    <row r="38" spans="1:5" x14ac:dyDescent="0.55000000000000004">
      <c r="A38" s="26" t="s">
        <v>148</v>
      </c>
      <c r="B38" s="26">
        <v>11.632</v>
      </c>
      <c r="C38" s="26" t="s">
        <v>94</v>
      </c>
      <c r="D38" s="26" t="s">
        <v>149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139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9" t="s">
        <v>129</v>
      </c>
      <c r="B46" s="29">
        <v>0.87</v>
      </c>
      <c r="C46" s="29"/>
      <c r="D46" s="29" t="s">
        <v>130</v>
      </c>
      <c r="E46" s="26"/>
    </row>
    <row r="47" spans="1:5" x14ac:dyDescent="0.55000000000000004">
      <c r="A47" s="29" t="s">
        <v>128</v>
      </c>
      <c r="B47" s="29">
        <v>0.7</v>
      </c>
      <c r="C47" s="29"/>
      <c r="D47" s="29" t="s">
        <v>130</v>
      </c>
      <c r="E47" s="26"/>
    </row>
    <row r="48" spans="1:5" x14ac:dyDescent="0.55000000000000004">
      <c r="A48" s="26" t="s">
        <v>125</v>
      </c>
      <c r="B48" s="26">
        <f>2*B7+B16</f>
        <v>0.29299999999999998</v>
      </c>
      <c r="C48" s="26" t="s">
        <v>77</v>
      </c>
      <c r="D48" s="26" t="s">
        <v>132</v>
      </c>
      <c r="E48" s="26"/>
    </row>
    <row r="49" spans="1:5" x14ac:dyDescent="0.55000000000000004">
      <c r="A49" s="4" t="s">
        <v>126</v>
      </c>
      <c r="B49" s="4">
        <f>B39</f>
        <v>1.805E-2</v>
      </c>
      <c r="C49" s="4" t="s">
        <v>74</v>
      </c>
      <c r="D49" s="4" t="s">
        <v>131</v>
      </c>
      <c r="E49" s="26"/>
    </row>
    <row r="50" spans="1:5" x14ac:dyDescent="0.55000000000000004">
      <c r="A50" s="4" t="s">
        <v>127</v>
      </c>
      <c r="B50" s="4">
        <f>B49</f>
        <v>1.805E-2</v>
      </c>
      <c r="C50" s="4" t="s">
        <v>74</v>
      </c>
      <c r="D50" s="4" t="s">
        <v>139</v>
      </c>
      <c r="E50" s="26"/>
    </row>
    <row r="51" spans="1:5" x14ac:dyDescent="0.55000000000000004">
      <c r="A51" s="4" t="s">
        <v>152</v>
      </c>
      <c r="B51" s="4">
        <f>B49+0.5*B16*[1]PARAMETERS!C7/1000</f>
        <v>3.2469999999999999E-2</v>
      </c>
      <c r="C51" s="4" t="s">
        <v>74</v>
      </c>
      <c r="D51" s="4" t="s">
        <v>153</v>
      </c>
      <c r="E51" s="26"/>
    </row>
    <row r="52" spans="1:5" x14ac:dyDescent="0.55000000000000004">
      <c r="A52" s="4" t="s">
        <v>133</v>
      </c>
      <c r="B52" s="4">
        <v>2.234667</v>
      </c>
      <c r="C52" s="4" t="s">
        <v>77</v>
      </c>
      <c r="D52" s="4" t="s">
        <v>139</v>
      </c>
      <c r="E52" s="26"/>
    </row>
    <row r="53" spans="1:5" x14ac:dyDescent="0.55000000000000004">
      <c r="A53" s="4" t="s">
        <v>154</v>
      </c>
      <c r="B53" s="4">
        <f>0.5*[1]Matlab_Data!B10*2*COS(PI()/6)*[1]Matlab_Data!B48 + B50*COS(PI()/6)*2</f>
        <v>5.6239689721761452E-2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156</v>
      </c>
      <c r="B54" s="4">
        <v>6.9000000000000006E-2</v>
      </c>
      <c r="C54" s="4" t="s">
        <v>74</v>
      </c>
      <c r="D54" s="4"/>
      <c r="E54" s="26"/>
    </row>
    <row r="55" spans="1:5" x14ac:dyDescent="0.55000000000000004">
      <c r="A55" s="4" t="s">
        <v>157</v>
      </c>
      <c r="B55" s="4">
        <f>(B52-B29)*B16</f>
        <v>0.177846701</v>
      </c>
      <c r="C55" s="4" t="s">
        <v>74</v>
      </c>
      <c r="D55" s="4" t="s">
        <v>158</v>
      </c>
      <c r="E55" s="26"/>
    </row>
    <row r="56" spans="1:5" x14ac:dyDescent="0.55000000000000004">
      <c r="A56" s="4" t="s">
        <v>137</v>
      </c>
      <c r="B56" s="4">
        <f>SUM(B53:B55)</f>
        <v>0.30308639072176147</v>
      </c>
      <c r="C56" s="4" t="s">
        <v>74</v>
      </c>
      <c r="D56" s="4" t="s">
        <v>139</v>
      </c>
      <c r="E56" s="26"/>
    </row>
    <row r="57" spans="1:5" x14ac:dyDescent="0.55000000000000004">
      <c r="A57" s="4" t="s">
        <v>138</v>
      </c>
      <c r="B57" s="4">
        <v>2.5178129999999999</v>
      </c>
      <c r="C57" s="4" t="s">
        <v>77</v>
      </c>
      <c r="D57" s="4" t="s">
        <v>139</v>
      </c>
      <c r="E57" s="26"/>
    </row>
    <row r="58" spans="1:5" x14ac:dyDescent="0.55000000000000004">
      <c r="A58" s="4" t="s">
        <v>140</v>
      </c>
      <c r="B58" s="4">
        <v>0.621</v>
      </c>
      <c r="C58" s="4" t="s">
        <v>77</v>
      </c>
      <c r="D58" s="4"/>
      <c r="E58" s="26"/>
    </row>
    <row r="59" spans="1:5" x14ac:dyDescent="0.55000000000000004">
      <c r="A59" s="4" t="s">
        <v>141</v>
      </c>
      <c r="B59" s="4">
        <f>B60+(B18-B58)</f>
        <v>2.204167</v>
      </c>
      <c r="C59" s="4" t="s">
        <v>77</v>
      </c>
      <c r="D59" s="4"/>
      <c r="E59" s="26"/>
    </row>
    <row r="60" spans="1:5" x14ac:dyDescent="0.55000000000000004">
      <c r="A60" s="4" t="s">
        <v>146</v>
      </c>
      <c r="B60" s="4">
        <f>B58/2</f>
        <v>0.3105</v>
      </c>
      <c r="C60" s="4" t="s">
        <v>77</v>
      </c>
      <c r="D60" s="4" t="s">
        <v>142</v>
      </c>
      <c r="E60" s="26"/>
    </row>
    <row r="61" spans="1:5" x14ac:dyDescent="0.55000000000000004">
      <c r="A61" s="4" t="s">
        <v>159</v>
      </c>
      <c r="B61" s="26">
        <f>(B52+(B18-B52)/2)</f>
        <v>2.3746670000000001</v>
      </c>
      <c r="C61" s="26"/>
      <c r="D61" s="4" t="s">
        <v>163</v>
      </c>
      <c r="E61" s="26"/>
    </row>
    <row r="62" spans="1:5" x14ac:dyDescent="0.55000000000000004">
      <c r="A62" s="4" t="s">
        <v>160</v>
      </c>
      <c r="B62" s="26">
        <f>2/3*B29</f>
        <v>0.33866666666666667</v>
      </c>
      <c r="C62" s="26"/>
      <c r="D62" s="4" t="s">
        <v>162</v>
      </c>
      <c r="E62" s="26"/>
    </row>
    <row r="63" spans="1:5" x14ac:dyDescent="0.55000000000000004">
      <c r="A63" s="4" t="s">
        <v>161</v>
      </c>
      <c r="B63" s="26">
        <f>(B52-B29)/2</f>
        <v>0.86333349999999998</v>
      </c>
      <c r="C63" s="26"/>
      <c r="D63" s="26"/>
      <c r="E63" s="26"/>
    </row>
    <row r="64" spans="1:5" x14ac:dyDescent="0.55000000000000004">
      <c r="A64" s="4" t="s">
        <v>164</v>
      </c>
      <c r="B64" s="26">
        <f>(B61*B53+B62*B54+B63*B55)/B56</f>
        <v>1.0243269233269428</v>
      </c>
      <c r="C64" s="26"/>
      <c r="D64" s="26"/>
      <c r="E64" s="26"/>
    </row>
    <row r="65" spans="1:5" x14ac:dyDescent="0.55000000000000004">
      <c r="A65" s="4" t="s">
        <v>165</v>
      </c>
      <c r="B65" s="26">
        <f>D65*PI()/180</f>
        <v>0.15707963267948966</v>
      </c>
      <c r="C65" s="26" t="s">
        <v>90</v>
      </c>
      <c r="D65" s="26">
        <v>9</v>
      </c>
      <c r="E65" s="26" t="s">
        <v>171</v>
      </c>
    </row>
    <row r="66" spans="1:5" x14ac:dyDescent="0.55000000000000004">
      <c r="A66" s="4" t="s">
        <v>167</v>
      </c>
      <c r="B66" s="26">
        <v>0.12</v>
      </c>
      <c r="C66" s="26" t="s">
        <v>120</v>
      </c>
      <c r="D66" s="26"/>
      <c r="E66" s="26"/>
    </row>
    <row r="67" spans="1:5" x14ac:dyDescent="0.55000000000000004">
      <c r="A67" s="4" t="s">
        <v>168</v>
      </c>
      <c r="B67" s="26">
        <f>B65/1</f>
        <v>0.15707963267948966</v>
      </c>
      <c r="C67" s="26"/>
      <c r="D67" s="26"/>
      <c r="E67" s="26"/>
    </row>
    <row r="68" spans="1:5" x14ac:dyDescent="0.55000000000000004">
      <c r="A68" s="4" t="s">
        <v>169</v>
      </c>
      <c r="B68" s="26">
        <f>PI()/2</f>
        <v>1.5707963267948966</v>
      </c>
      <c r="C68" s="26"/>
      <c r="D68" s="26"/>
      <c r="E68" s="26"/>
    </row>
    <row r="69" spans="1:5" x14ac:dyDescent="0.55000000000000004">
      <c r="A69" s="4" t="s">
        <v>170</v>
      </c>
      <c r="B69" s="26">
        <v>0.02</v>
      </c>
      <c r="C69" s="26"/>
      <c r="D69" s="26"/>
      <c r="E69" s="26"/>
    </row>
    <row r="70" spans="1:5" x14ac:dyDescent="0.55000000000000004">
      <c r="A70" s="4" t="s">
        <v>173</v>
      </c>
      <c r="B70" s="26">
        <v>0.01</v>
      </c>
      <c r="C70" s="26"/>
      <c r="D70" s="26"/>
      <c r="E70" s="26"/>
    </row>
    <row r="71" spans="1:5" x14ac:dyDescent="0.55000000000000004">
      <c r="A71" s="4" t="s">
        <v>175</v>
      </c>
      <c r="B71" s="30">
        <v>-1.5</v>
      </c>
      <c r="C71" s="26"/>
      <c r="D71" s="26" t="s">
        <v>176</v>
      </c>
      <c r="E71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2016-02-29T00:50:03Z</dcterms:modified>
</cp:coreProperties>
</file>