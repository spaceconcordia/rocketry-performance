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45570" yWindow="0" windowWidth="9720" windowHeight="8280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8" l="1"/>
  <c r="B4" i="18" l="1"/>
  <c r="B23" i="18"/>
  <c r="B8" i="18"/>
  <c r="B11" i="18"/>
  <c r="B9" i="18"/>
  <c r="B5" i="18"/>
  <c r="B6" i="18"/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<sst xmlns="http://schemas.openxmlformats.org/spreadsheetml/2006/main" count="211" uniqueCount="118">
  <si>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</si>
  <si>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</si>
  <si>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</si>
  <si>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</si>
  <si>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</si>
  <si>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</si>
  <si>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</si>
  <si>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</si>
  <si>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</si>
  <si>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</si>
  <si>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</si>
  <si>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</si>
  <si>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</si>
  <si>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</si>
  <si>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</si>
  <si>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</si>
  <si>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</si>
  <si>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</si>
  <si>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</si>
  <si>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</si>
  <si>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</si>
  <si>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</si>
  <si>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</si>
  <si>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</si>
  <si>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</si>
  <si>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</si>
  <si>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</si>
  <si>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</si>
  <si>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</si>
  <si>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</si>
  <si>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</si>
  <si>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</si>
  <si>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</si>
  <si>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</si>
  <si>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</si>
  <si>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</si>
  <si>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</si>
  <si>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</si>
  <si>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</si>
  <si>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</si>
  <si>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</si>
  <si>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</si>
  <si>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</si>
  <si>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</si>
  <si>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</si>
  <si>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</si>
  <si>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</si>
  <si>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</si>
  <si>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</si>
  <si>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</si>
  <si>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</si>
  <si>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</si>
  <si>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</si>
  <si>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</si>
  <si>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</si>
  <si>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</si>
  <si>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</si>
  <si>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</si>
  <si>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</si>
  <si>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</si>
  <si>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</si>
  <si>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</si>
  <si>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</si>
  <si>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</si>
  <si>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</si>
  <si>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</si>
  <si>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</si>
  <si>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</si>
  <si>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</si>
  <si>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</si>
  <si>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</si>
  <si>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</si>
  <si>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</si>
  <si>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</si>
  <si>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</si>
  <si>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</si>
  <si>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</si>
  <si>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</si>
  <si>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</si>
  <si>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</si>
  <si>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</si>
  <si>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</si>
  <si>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</si>
  <si>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</si>
  <si>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</si>
  <si>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</si>
  <si>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</si>
  <si>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C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</si>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</sst>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tabSelected="1" workbookViewId="0">
      <selection activeCell="G12" sqref="G12"/>
    </sheetView>
  </sheetViews>
  <sheetFormatPr defaultColWidth="9.15625" defaultRowHeight="14.4" x14ac:dyDescent="0.55000000000000004"/>
  <cols>
    <col min="1" max="1" width="3.207031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4.4" x14ac:dyDescent="0.55000000000000004"/>
  <cols>
    <col min="1" max="1" width="20.89453125" bestFit="1" customWidth="1"/>
  </cols>
  <sheetData>
    <row r="1" spans="1:2" x14ac:dyDescent="0.55000000000000004">
      <c r="A1" t="s">
        <v>103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0"/>
  <sheetViews>
    <sheetView topLeftCell="A10" workbookViewId="0">
      <selection activeCell="A14" sqref="A1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t="s">
        <v>71</v>
      </c>
      <c r="B1" t="s">
        <v>0</v>
      </c>
      <c r="C1" t="s">
        <v>72</v>
      </c>
      <c r="D1" t="s">
        <v>1</v>
      </c>
    </row>
    <row r="2" spans="1:4" x14ac:dyDescent="0.55000000000000004">
      <c r="A2" s="26" t="s">
        <v>73</v>
      </c>
      <c r="B2">
        <v>3.0162500000000003E-4</v>
      </c>
      <c r="C2" t="s">
        <v>74</v>
      </c>
    </row>
    <row r="3" spans="1:4" x14ac:dyDescent="0.55000000000000004">
      <c r="A3" s="26" t="s">
        <v>75</v>
      </c>
      <c r="B3">
        <v>2.6124999999999999E-2</v>
      </c>
      <c r="C3" t="s">
        <v>74</v>
      </c>
    </row>
    <row r="4" spans="1:4" x14ac:dyDescent="0.55000000000000004">
      <c r="A4" s="26" t="s">
        <v>76</v>
      </c>
      <c r="B4">
        <f>PARAMETERS!C7*0.001</f>
        <v>0.35000000000000003</v>
      </c>
      <c r="C4" t="s">
        <v>77</v>
      </c>
    </row>
    <row r="5" spans="1:4" x14ac:dyDescent="0.55000000000000004">
      <c r="A5" s="26" t="s">
        <v>78</v>
      </c>
      <c r="B5">
        <f>PARAMETERS!C4</f>
        <v>3</v>
      </c>
      <c r="C5" t="s">
        <v>79</v>
      </c>
    </row>
    <row r="6" spans="1:4" x14ac:dyDescent="0.55000000000000004">
      <c r="A6" s="26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26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f>PARAMETERS!C3*0.001</f>
        <v>5.1500000000000004E-2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>
        <f>(PARAMETERS!C10+PARAMETERS!C11+PARAMETERS!C12+PARAMETERS!C13)*0.001</f>
        <v>2.86</v>
      </c>
      <c r="C11" t="s">
        <v>77</v>
      </c>
    </row>
    <row r="12" spans="1:4" x14ac:dyDescent="0.55000000000000004">
      <c r="A12" t="s">
        <v>107</v>
      </c>
      <c r="B12">
        <v>101325</v>
      </c>
      <c r="C12" t="s">
        <v>86</v>
      </c>
    </row>
    <row r="13" spans="1:4" x14ac:dyDescent="0.55000000000000004">
      <c r="A13" t="s">
        <v>108</v>
      </c>
      <c r="B13">
        <v>30</v>
      </c>
      <c r="C13" t="s">
        <v>87</v>
      </c>
    </row>
    <row r="14" spans="1:4" x14ac:dyDescent="0.55000000000000004">
      <c r="A14" t="s">
        <v>88</v>
      </c>
      <c r="B14">
        <v>0</v>
      </c>
      <c r="C14" t="s">
        <v>79</v>
      </c>
      <c r="D14" t="s">
        <v>99</v>
      </c>
    </row>
    <row r="15" spans="1:4" x14ac:dyDescent="0.55000000000000004">
      <c r="A15" s="26" t="s">
        <v>89</v>
      </c>
      <c r="B15">
        <v>1.88</v>
      </c>
      <c r="C15" t="s">
        <v>77</v>
      </c>
    </row>
    <row r="16" spans="1:4" x14ac:dyDescent="0.55000000000000004">
      <c r="A16" s="26" t="s">
        <v>90</v>
      </c>
      <c r="B16">
        <v>2.0499999999999998</v>
      </c>
      <c r="C16" t="s">
        <v>77</v>
      </c>
    </row>
    <row r="17" spans="1:4" x14ac:dyDescent="0.55000000000000004">
      <c r="A17" s="27" t="s">
        <v>91</v>
      </c>
      <c r="B17">
        <v>0.21</v>
      </c>
      <c r="C17" t="s">
        <v>92</v>
      </c>
    </row>
    <row r="18" spans="1:4" x14ac:dyDescent="0.55000000000000004">
      <c r="A18" t="s">
        <v>93</v>
      </c>
      <c r="B18">
        <v>1</v>
      </c>
      <c r="C18" t="s">
        <v>79</v>
      </c>
      <c r="D18" t="s">
        <v>100</v>
      </c>
    </row>
    <row r="19" spans="1:4" x14ac:dyDescent="0.55000000000000004">
      <c r="A19" t="s">
        <v>94</v>
      </c>
      <c r="B19">
        <v>1</v>
      </c>
      <c r="C19" t="s">
        <v>79</v>
      </c>
      <c r="D19" t="s">
        <v>101</v>
      </c>
    </row>
    <row r="20" spans="1:4" x14ac:dyDescent="0.55000000000000004">
      <c r="A20" t="s">
        <v>95</v>
      </c>
      <c r="B20">
        <v>1.61E-2</v>
      </c>
      <c r="C20" t="s">
        <v>77</v>
      </c>
    </row>
    <row r="21" spans="1:4" x14ac:dyDescent="0.55000000000000004">
      <c r="A21" t="s">
        <v>96</v>
      </c>
      <c r="B21">
        <v>0</v>
      </c>
      <c r="C21" t="s">
        <v>77</v>
      </c>
    </row>
    <row r="22" spans="1:4" x14ac:dyDescent="0.55000000000000004">
      <c r="A22" t="s">
        <v>97</v>
      </c>
      <c r="B22">
        <v>4.0805199999999999</v>
      </c>
      <c r="C22" t="s">
        <v>98</v>
      </c>
      <c r="D22" t="s">
        <v>102</v>
      </c>
    </row>
    <row r="23" spans="1:4" x14ac:dyDescent="0.55000000000000004">
      <c r="A23" t="s">
        <v>104</v>
      </c>
      <c r="B23">
        <f>(ATAN(PARAMETERS!C9/PARAMETERS!C6)+PI()/2)*(180/PI())</f>
        <v>157.55724663470565</v>
      </c>
      <c r="C23" t="s">
        <v>39</v>
      </c>
      <c r="D23" t="s">
        <v>105</v>
      </c>
    </row>
    <row r="24" spans="1:4" x14ac:dyDescent="0.55000000000000004">
      <c r="A24" t="s">
        <v>106</v>
      </c>
      <c r="B24">
        <v>0</v>
      </c>
      <c r="C24" t="s">
        <v>77</v>
      </c>
    </row>
    <row r="25" spans="1:4" x14ac:dyDescent="0.55000000000000004">
      <c r="A25" t="s">
        <v>109</v>
      </c>
      <c r="B25">
        <v>0.6</v>
      </c>
      <c r="C25" t="s">
        <v>77</v>
      </c>
    </row>
    <row r="26" spans="1:4" x14ac:dyDescent="0.55000000000000004">
      <c r="A26" t="s">
        <v>110</v>
      </c>
      <c r="B26">
        <v>57.94</v>
      </c>
      <c r="C26" t="s">
        <v>111</v>
      </c>
    </row>
    <row r="27" spans="1:4" x14ac:dyDescent="0.55000000000000004">
      <c r="A27" t="s">
        <v>112</v>
      </c>
      <c r="B27">
        <v>35.549999999999997</v>
      </c>
      <c r="C27" t="s">
        <v>111</v>
      </c>
    </row>
    <row r="28" spans="1:4" x14ac:dyDescent="0.55000000000000004">
      <c r="A28" t="s">
        <v>113</v>
      </c>
      <c r="B28">
        <v>0.8236</v>
      </c>
      <c r="C28" t="s">
        <v>114</v>
      </c>
    </row>
    <row r="29" spans="1:4" x14ac:dyDescent="0.55000000000000004">
      <c r="A29" t="s">
        <v>115</v>
      </c>
      <c r="B29">
        <v>14.836</v>
      </c>
      <c r="C29" t="s">
        <v>117</v>
      </c>
    </row>
    <row r="30" spans="1:4" x14ac:dyDescent="0.55000000000000004">
      <c r="A30" t="s">
        <v>116</v>
      </c>
      <c r="B30">
        <f>9.81*B29</f>
        <v>145.54116000000002</v>
      </c>
      <c r="C30" t="s">
        <v>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D18" sqref="D18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15" sqref="B15"/>
    </sheetView>
  </sheetViews>
  <sheetFormatPr defaultRowHeight="14.4" x14ac:dyDescent="0.55000000000000004"/>
  <cols>
    <col min="1" max="1" width="22.578125" bestFit="1" customWidth="1"/>
    <col min="2" max="2" width="13.26171875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2015-11-30T01:21:15Z</dcterms:modified>
</cp:coreProperties>
</file>