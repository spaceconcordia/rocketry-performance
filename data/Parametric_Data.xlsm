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<sst xmlns="http://schemas.openxmlformats.org/spreadsheetml/2006/main" count="297" uniqueCount="167">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</sst>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  <xf numFmtId="0" fontId="0" fillId="3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2"/>
  <sheetViews>
    <sheetView tabSelected="1" topLeftCell="A28" workbookViewId="0">
      <selection activeCell="C65" sqref="C65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29" t="s">
        <v>87</v>
      </c>
      <c r="B15" s="29">
        <v>1.6</v>
      </c>
      <c r="C15" s="29" t="s">
        <v>77</v>
      </c>
      <c r="D15" s="29" t="s">
        <v>111</v>
      </c>
      <c r="E15" s="26"/>
    </row>
    <row r="16" spans="1:5" x14ac:dyDescent="0.55000000000000004">
      <c r="A16" s="29" t="s">
        <v>88</v>
      </c>
      <c r="B16" s="29">
        <v>1.9</v>
      </c>
      <c r="C16" s="29" t="s">
        <v>77</v>
      </c>
      <c r="D16" s="29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14.835699999999999</v>
      </c>
      <c r="C29" s="26" t="s">
        <v>109</v>
      </c>
      <c r="D29" s="26"/>
      <c r="E29" s="26">
        <f>(B37-B35)/9.81</f>
        <v>14.835699999999999</v>
      </c>
    </row>
    <row r="30" spans="1:5" x14ac:dyDescent="0.55000000000000004">
      <c r="A30" s="26" t="s">
        <v>108</v>
      </c>
      <c r="B30" s="26">
        <f>B37-B35</f>
        <v>145.538217</v>
      </c>
      <c r="C30" s="26" t="s">
        <v>103</v>
      </c>
      <c r="D30" s="26"/>
      <c r="E30" s="26">
        <f>(B37-B35)</f>
        <v>145.538217</v>
      </c>
    </row>
    <row r="31" spans="1:5" x14ac:dyDescent="0.55000000000000004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55000000000000004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171.66519</v>
      </c>
      <c r="C37" s="26" t="s">
        <v>103</v>
      </c>
      <c r="D37" s="26">
        <f>B24+B30</f>
        <v>171.66519</v>
      </c>
      <c r="E37" s="26"/>
    </row>
    <row r="38" spans="1:5" x14ac:dyDescent="0.55000000000000004">
      <c r="A38" s="26" t="s">
        <v>119</v>
      </c>
      <c r="B38" s="26">
        <v>17.498999999999999</v>
      </c>
      <c r="C38" s="26" t="s">
        <v>109</v>
      </c>
      <c r="D38" s="26">
        <f>(B24+B30)/9.81</f>
        <v>17.498999999999999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 t="s">
        <v>130</v>
      </c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 t="s">
        <v>130</v>
      </c>
      <c r="E49" s="26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31" t="s">
        <v>161</v>
      </c>
      <c r="B59">
        <f>(B46+(B12-B46)/2)</f>
        <v>2.3746670000000001</v>
      </c>
      <c r="D59" s="31" t="s">
        <v>165</v>
      </c>
    </row>
    <row r="60" spans="1:5" x14ac:dyDescent="0.55000000000000004">
      <c r="A60" s="31" t="s">
        <v>162</v>
      </c>
      <c r="B60">
        <f>2/3*B23</f>
        <v>0.33866666666666667</v>
      </c>
      <c r="D60" s="23" t="s">
        <v>164</v>
      </c>
    </row>
    <row r="61" spans="1:5" x14ac:dyDescent="0.55000000000000004">
      <c r="A61" s="31" t="s">
        <v>163</v>
      </c>
      <c r="B61">
        <f>(B46-B23)/2</f>
        <v>0.86333349999999998</v>
      </c>
    </row>
    <row r="62" spans="1:5" x14ac:dyDescent="0.55000000000000004">
      <c r="A62" s="31" t="s">
        <v>166</v>
      </c>
      <c r="B62">
        <f>(B59*B50+B60*B51+B61*B52)/B53</f>
        <v>1.0243269233269428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0" t="s">
        <v>42</v>
      </c>
      <c r="C2" s="30"/>
      <c r="D2" s="30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0" t="s">
        <v>43</v>
      </c>
      <c r="C7" s="30"/>
      <c r="D7" s="30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0" t="s">
        <v>47</v>
      </c>
      <c r="C12" s="30"/>
      <c r="D12" s="30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2016-01-16T00:19:53Z</dcterms:modified>
</cp:coreProperties>
</file>