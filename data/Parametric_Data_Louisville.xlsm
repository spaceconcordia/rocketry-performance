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19200" windowHeight="8418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8" l="1"/>
  <c r="B16" i="18"/>
  <c r="D24" i="18" l="1"/>
  <c r="B24" i="18" s="1"/>
  <c r="B8" i="18"/>
  <c r="B4" i="18"/>
  <c r="B9" i="18"/>
  <c r="B53" i="18"/>
  <c r="B7" i="18"/>
  <c r="B2" i="18" s="1"/>
  <c r="B6" i="18"/>
  <c r="B13" i="18"/>
  <c r="B40" i="18" s="1"/>
  <c r="B69" i="18" l="1"/>
  <c r="B62" i="18" l="1"/>
  <c r="B64" i="18"/>
  <c r="B63" i="18"/>
  <c r="B56" i="18" l="1"/>
  <c r="B41" i="18"/>
  <c r="B14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2" i="18" l="1"/>
  <c r="B33" i="18"/>
  <c r="B34" i="18" s="1"/>
  <c r="B3" i="18" l="1"/>
  <c r="E37" i="18"/>
  <c r="E36" i="18"/>
  <c r="B49" i="18"/>
  <c r="B54" i="18" s="1"/>
  <c r="B57" i="18" s="1"/>
  <c r="B65" i="18" s="1"/>
  <c r="B5" i="18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<sst xmlns="http://schemas.openxmlformats.org/spreadsheetml/2006/main" count="322" uniqueCount="186">
  <si>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</si>
  <si>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</si>
  <si>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</si>
  <si>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</si>
  <si>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</si>
  <si>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</si>
  <si>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</si>
  <si>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</si>
  <si>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</si>
  <si>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</si>
  <si>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</si>
  <si>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</si>
  <si>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</si>
  <si>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</si>
  <si>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</si>
  <si>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</si>
  <si>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</si>
  <si>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</si>
  <si>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</si>
  <si>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</si>
  <si>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</si>
  <si>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</si>
  <si>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</si>
  <si>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</si>
  <si>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</si>
  <si>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</si>
  <si>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</si>
  <si>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</si>
  <si>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</si>
  <si>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</si>
  <si>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</si>
  <si>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</si>
  <si>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</si>
  <si>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</si>
  <si>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</si>
  <si>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</si>
  <si>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</si>
  <si>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</si>
  <si>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</si>
  <si>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</si>
  <si>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</si>
  <si>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</si>
  <si>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</si>
  <si>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</si>
  <si>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</si>
  <si>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</si>
  <si>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</si>
  <si>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</si>
  <si>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</si>
  <si>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</si>
  <si>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</si>
  <si>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</si>
  <si>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</si>
  <si>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</si>
  <si>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</si>
  <si>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</si>
  <si>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</si>
  <si>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</si>
  <si>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</si>
  <si>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</si>
  <si>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</si>
  <si>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</si>
  <si>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</si>
  <si>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</si>
  <si>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</si>
  <si>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</si>
  <si>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</si>
  <si>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</si>
  <si>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</si>
  <si>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</si>
  <si>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</si>
  <si>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</si>
  <si>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</si>
  <si>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</si>
  <si>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</si>
  <si>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</si>
  <si>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</si>
  <si>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</si>
  <si>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</si>
  <si>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</si>
  <si>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</si>
  <si>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</si>
  <si>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</si>
  <si>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</si>
  <si>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</si>
  <si>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</si>
  <si>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</si>
  <si>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</si>
  <si>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</si>
  <si>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</si>
  <si>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</si>
  <si>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</si>
  <si>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</si>
  <si>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</si>
  <si>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</si>
  <si>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</si>
  <si>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</si>
  <si>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</si>
  <si>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</si>
  <si>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</si>
  <si>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</si>
  <si>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</si>
  <si>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</si>
  <si>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</si>
  <si>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</si>
  <si>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</si>
  <si>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</si>
  <si>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</si>
  <si>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</si>
  <si>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</si>
  <si>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</si>
  <si>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</si>
  <si>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</si>
  <si>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</si>
  <si>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</si>
  <si>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</si>
  <si>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</si>
  <si>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</si>
  <si>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</si>
  <si>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</si>
  <si>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</si>
  <si>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</si>
  <si>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</si>
  <si>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</si>
  <si>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</si>
  <si>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</si>
  <si>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</si>
  <si>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</si>
  <si>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</si>
  <si>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</si>
  <si>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</si>
  <si>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</si>
  <si>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</si>
  <si>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</si>
  <si>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</si>
  <si>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</si>
  <si>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</si>
  <si>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</si>
  <si>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</si>
  <si>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</si>
  <si>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</si>
  <si>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</si>
  <si>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</si>
  <si>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</si>
  <si>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</si>
  <si>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</si>
  <si>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</si>
  <si>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</si>
  <si>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</si>
  <si>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</si>
  <si>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</si>
  <si>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</si>
  <si>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</si>
  <si>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</si>
  <si>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</si>
  <si>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</si>
  <si>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</si>
  <si>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</si>
  <si>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</si>
  <si>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</si>
  <si>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</si>
  <si>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</si>
  <si>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</si>
  <si>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</si>
  <si>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</si>
  <si>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</si>
  <si>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</si>
  <si>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</si>
  <si>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</si>
  <si>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</si>
  <si>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</si>
  <si>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</si>
  <si>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</si>
  <si>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</si>
  <si>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</si>
  <si>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</si>
  <si>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</si>
  <si>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</si>
  <si>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</si>
  <si>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</si>
  <si>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</si>
  <si>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</si>
  <si>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</si>
  <si>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1-Ogive, 2- LV_Haack, 3-Conical, 4-LD_Haack</t>
  </si>
  <si>
    <t>area_wetted_nose_cone</t>
  </si>
  <si>
    <t>DON'T REMOVE THIS DUPLICATE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</si>
</sst>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2.0900211736591929</c:v>
                </c:pt>
                <c:pt idx="2">
                  <c:v>2.0897037441009672</c:v>
                </c:pt>
                <c:pt idx="3">
                  <c:v>2.0891192115876991</c:v>
                </c:pt>
                <c:pt idx="4">
                  <c:v>2.0883565329254177</c:v>
                </c:pt>
                <c:pt idx="5">
                  <c:v>2.0874465106116262</c:v>
                </c:pt>
                <c:pt idx="6">
                  <c:v>2.0864064757839347</c:v>
                </c:pt>
                <c:pt idx="7">
                  <c:v>2.085247812862808</c:v>
                </c:pt>
                <c:pt idx="8">
                  <c:v>2.083978655390927</c:v>
                </c:pt>
                <c:pt idx="9">
                  <c:v>2.082605133177768</c:v>
                </c:pt>
                <c:pt idx="10">
                  <c:v>2.0811320403216191</c:v>
                </c:pt>
                <c:pt idx="11">
                  <c:v>2.0795632295901894</c:v>
                </c:pt>
                <c:pt idx="12">
                  <c:v>2.0779018621160583</c:v>
                </c:pt>
                <c:pt idx="13">
                  <c:v>2.0761505740800086</c:v>
                </c:pt>
                <c:pt idx="14">
                  <c:v>2.0743115927012163</c:v>
                </c:pt>
                <c:pt idx="15">
                  <c:v>2.0723868197045565</c:v>
                </c:pt>
                <c:pt idx="16">
                  <c:v>2.0703778930687911</c:v>
                </c:pt>
                <c:pt idx="17">
                  <c:v>2.0682862337799648</c:v>
                </c:pt>
                <c:pt idx="18">
                  <c:v>2.0661130819377727</c:v>
                </c:pt>
                <c:pt idx="19">
                  <c:v>2.0638595251183331</c:v>
                </c:pt>
                <c:pt idx="20">
                  <c:v>2.0615265209867202</c:v>
                </c:pt>
                <c:pt idx="21">
                  <c:v>2.059114915561167</c:v>
                </c:pt>
                <c:pt idx="22">
                  <c:v>2.0566254581359122</c:v>
                </c:pt>
                <c:pt idx="23">
                  <c:v>2.0540588135996205</c:v>
                </c:pt>
                <c:pt idx="24">
                  <c:v>2.0514155726977097</c:v>
                </c:pt>
                <c:pt idx="25">
                  <c:v>2.0486962606527355</c:v>
                </c:pt>
                <c:pt idx="26">
                  <c:v>2.0459013444598506</c:v>
                </c:pt>
                <c:pt idx="27">
                  <c:v>2.0430312391030037</c:v>
                </c:pt>
                <c:pt idx="28">
                  <c:v>2.0400863128843381</c:v>
                </c:pt>
                <c:pt idx="29">
                  <c:v>2.0370668920191499</c:v>
                </c:pt>
                <c:pt idx="30">
                  <c:v>2.0339732646181159</c:v>
                </c:pt>
                <c:pt idx="31">
                  <c:v>2.0308056841548643</c:v>
                </c:pt>
                <c:pt idx="32">
                  <c:v>2.0275643724985568</c:v>
                </c:pt>
                <c:pt idx="33">
                  <c:v>2.0242495225766559</c:v>
                </c:pt>
                <c:pt idx="34">
                  <c:v>2.0208613007215765</c:v>
                </c:pt>
                <c:pt idx="35">
                  <c:v>2.0173998487457365</c:v>
                </c:pt>
                <c:pt idx="36">
                  <c:v>2.0138652857821393</c:v>
                </c:pt>
                <c:pt idx="37">
                  <c:v>2.0102577099216203</c:v>
                </c:pt>
                <c:pt idx="38">
                  <c:v>2.0065771996730075</c:v>
                </c:pt>
                <c:pt idx="39">
                  <c:v>2.002823815268437</c:v>
                </c:pt>
                <c:pt idx="40">
                  <c:v>1.9989975998327403</c:v>
                </c:pt>
                <c:pt idx="41">
                  <c:v>1.9950985804330854</c:v>
                </c:pt>
                <c:pt idx="42">
                  <c:v>1.991126769022745</c:v>
                </c:pt>
                <c:pt idx="43">
                  <c:v>1.9870821632909537</c:v>
                </c:pt>
                <c:pt idx="44">
                  <c:v>1.9829647474291914</c:v>
                </c:pt>
                <c:pt idx="45">
                  <c:v>1.9787744928228603</c:v>
                </c:pt>
                <c:pt idx="46">
                  <c:v>1.9745113586761607</c:v>
                </c:pt>
                <c:pt idx="47">
                  <c:v>1.9701752925769789</c:v>
                </c:pt>
                <c:pt idx="48">
                  <c:v>1.9657662310077544</c:v>
                </c:pt>
                <c:pt idx="49">
                  <c:v>1.961284099807554</c:v>
                </c:pt>
                <c:pt idx="50">
                  <c:v>1.9567288145899686</c:v>
                </c:pt>
                <c:pt idx="51">
                  <c:v>1.9521002811208865</c:v>
                </c:pt>
                <c:pt idx="52">
                  <c:v>1.9473983956597405</c:v>
                </c:pt>
                <c:pt idx="53">
                  <c:v>1.9426230452674065</c:v>
                </c:pt>
                <c:pt idx="54">
                  <c:v>1.9377741080835753</c:v>
                </c:pt>
                <c:pt idx="55">
                  <c:v>1.9328514535761077</c:v>
                </c:pt>
                <c:pt idx="56">
                  <c:v>1.9278549427646015</c:v>
                </c:pt>
                <c:pt idx="57">
                  <c:v>1.9227844284201667</c:v>
                </c:pt>
                <c:pt idx="58">
                  <c:v>1.9176397552431768</c:v>
                </c:pt>
                <c:pt idx="59">
                  <c:v>1.9124207600205896</c:v>
                </c:pt>
                <c:pt idx="60">
                  <c:v>1.9071272717642476</c:v>
                </c:pt>
                <c:pt idx="61">
                  <c:v>1.9017591118314334</c:v>
                </c:pt>
                <c:pt idx="62">
                  <c:v>1.8963160940288062</c:v>
                </c:pt>
                <c:pt idx="63">
                  <c:v>1.8907980247007368</c:v>
                </c:pt>
                <c:pt idx="64">
                  <c:v>1.8852047028029495</c:v>
                </c:pt>
                <c:pt idx="65">
                  <c:v>1.8795359199622743</c:v>
                </c:pt>
                <c:pt idx="66">
                  <c:v>1.8737914605232378</c:v>
                </c:pt>
                <c:pt idx="67">
                  <c:v>1.8679711015821292</c:v>
                </c:pt>
                <c:pt idx="68">
                  <c:v>1.8620746130091173</c:v>
                </c:pt>
                <c:pt idx="69">
                  <c:v>1.8561017574589205</c:v>
                </c:pt>
                <c:pt idx="70">
                  <c:v>1.8500522903704777</c:v>
                </c:pt>
                <c:pt idx="71">
                  <c:v>1.8439259599560054</c:v>
                </c:pt>
                <c:pt idx="72">
                  <c:v>1.8377225071797858</c:v>
                </c:pt>
                <c:pt idx="73">
                  <c:v>1.8314416657269741</c:v>
                </c:pt>
                <c:pt idx="74">
                  <c:v>1.8250831619626762</c:v>
                </c:pt>
                <c:pt idx="75">
                  <c:v>1.8186467148815031</c:v>
                </c:pt>
                <c:pt idx="76">
                  <c:v>1.8121320360477711</c:v>
                </c:pt>
                <c:pt idx="77">
                  <c:v>1.8055388295264845</c:v>
                </c:pt>
                <c:pt idx="78">
                  <c:v>1.7988667918051966</c:v>
                </c:pt>
                <c:pt idx="79">
                  <c:v>1.7921156117068171</c:v>
                </c:pt>
                <c:pt idx="80">
                  <c:v>1.7852849702934033</c:v>
                </c:pt>
                <c:pt idx="81">
                  <c:v>1.7783745407609362</c:v>
                </c:pt>
                <c:pt idx="82">
                  <c:v>1.7713839883250659</c:v>
                </c:pt>
                <c:pt idx="83">
                  <c:v>1.764312970097764</c:v>
                </c:pt>
                <c:pt idx="84">
                  <c:v>1.7571611349548104</c:v>
                </c:pt>
                <c:pt idx="85">
                  <c:v>1.7499281233940061</c:v>
                </c:pt>
                <c:pt idx="86">
                  <c:v>1.7426135673839747</c:v>
                </c:pt>
                <c:pt idx="87">
                  <c:v>1.7352170902033894</c:v>
                </c:pt>
                <c:pt idx="88">
                  <c:v>1.7277383062704414</c:v>
                </c:pt>
                <c:pt idx="89">
                  <c:v>1.7201768209623263</c:v>
                </c:pt>
                <c:pt idx="90">
                  <c:v>1.7125322304245043</c:v>
                </c:pt>
                <c:pt idx="91">
                  <c:v>1.7048041213694598</c:v>
                </c:pt>
                <c:pt idx="92">
                  <c:v>1.6969920708646582</c:v>
                </c:pt>
                <c:pt idx="93">
                  <c:v>1.6890956461093596</c:v>
                </c:pt>
                <c:pt idx="94">
                  <c:v>1.6811144041999273</c:v>
                </c:pt>
                <c:pt idx="95">
                  <c:v>1.673047891883233</c:v>
                </c:pt>
                <c:pt idx="96">
                  <c:v>1.6648956452977182</c:v>
                </c:pt>
                <c:pt idx="97">
                  <c:v>1.6566571897016504</c:v>
                </c:pt>
                <c:pt idx="98">
                  <c:v>1.6483320391880638</c:v>
                </c:pt>
                <c:pt idx="99">
                  <c:v>1.6399196963858351</c:v>
                </c:pt>
                <c:pt idx="100">
                  <c:v>1.6314196521463107</c:v>
                </c:pt>
                <c:pt idx="101">
                  <c:v>1.6228313852148508</c:v>
                </c:pt>
                <c:pt idx="102">
                  <c:v>1.6141543618866094</c:v>
                </c:pt>
                <c:pt idx="103">
                  <c:v>1.6053880356458239</c:v>
                </c:pt>
                <c:pt idx="104">
                  <c:v>1.5965318467878273</c:v>
                </c:pt>
                <c:pt idx="105">
                  <c:v>1.5875852220229503</c:v>
                </c:pt>
                <c:pt idx="106">
                  <c:v>1.5785475740614074</c:v>
                </c:pt>
                <c:pt idx="107">
                  <c:v>1.5694183011782046</c:v>
                </c:pt>
                <c:pt idx="108">
                  <c:v>1.560196786757039</c:v>
                </c:pt>
                <c:pt idx="109">
                  <c:v>1.5508823988120735</c:v>
                </c:pt>
                <c:pt idx="110">
                  <c:v>1.541474489486407</c:v>
                </c:pt>
                <c:pt idx="111">
                  <c:v>1.5319723945259576</c:v>
                </c:pt>
                <c:pt idx="112">
                  <c:v>1.5223754327273962</c:v>
                </c:pt>
                <c:pt idx="113">
                  <c:v>1.5126829053586599</c:v>
                </c:pt>
                <c:pt idx="114">
                  <c:v>1.5028940955504675</c:v>
                </c:pt>
                <c:pt idx="115">
                  <c:v>1.493008267657147</c:v>
                </c:pt>
                <c:pt idx="116">
                  <c:v>1.48302466658495</c:v>
                </c:pt>
                <c:pt idx="117">
                  <c:v>1.4729425170858921</c:v>
                </c:pt>
                <c:pt idx="118">
                  <c:v>1.4627610230150208</c:v>
                </c:pt>
                <c:pt idx="119">
                  <c:v>1.452479366548828</c:v>
                </c:pt>
                <c:pt idx="120">
                  <c:v>1.4420967073623663</c:v>
                </c:pt>
                <c:pt idx="121">
                  <c:v>1.4316121817624254</c:v>
                </c:pt>
                <c:pt idx="122">
                  <c:v>1.4210249017739207</c:v>
                </c:pt>
                <c:pt idx="123">
                  <c:v>1.4103339541764095</c:v>
                </c:pt>
                <c:pt idx="124">
                  <c:v>1.3995383994874082</c:v>
                </c:pt>
                <c:pt idx="125">
                  <c:v>1.3886372708889017</c:v>
                </c:pt>
                <c:pt idx="126">
                  <c:v>1.3776295730931387</c:v>
                </c:pt>
                <c:pt idx="127">
                  <c:v>1.3665142811434787</c:v>
                </c:pt>
                <c:pt idx="128">
                  <c:v>1.3552903391456861</c:v>
                </c:pt>
                <c:pt idx="129">
                  <c:v>1.3439566589246785</c:v>
                </c:pt>
                <c:pt idx="130">
                  <c:v>1.332512118601288</c:v>
                </c:pt>
                <c:pt idx="131">
                  <c:v>1.3209555610831103</c:v>
                </c:pt>
                <c:pt idx="132">
                  <c:v>1.3092857924629868</c:v>
                </c:pt>
                <c:pt idx="133">
                  <c:v>1.2975015803180685</c:v>
                </c:pt>
                <c:pt idx="134">
                  <c:v>1.2856016519017517</c:v>
                </c:pt>
                <c:pt idx="135">
                  <c:v>1.2735846922200482</c:v>
                </c:pt>
                <c:pt idx="136">
                  <c:v>1.2614493419831549</c:v>
                </c:pt>
                <c:pt idx="137">
                  <c:v>1.2491941954220644</c:v>
                </c:pt>
                <c:pt idx="138">
                  <c:v>1.2368177979590793</c:v>
                </c:pt>
                <c:pt idx="139">
                  <c:v>1.2243186437199529</c:v>
                </c:pt>
                <c:pt idx="140">
                  <c:v>1.2116951728741399</c:v>
                </c:pt>
                <c:pt idx="141">
                  <c:v>1.1989457687882215</c:v>
                </c:pt>
                <c:pt idx="142">
                  <c:v>1.1860687549760067</c:v>
                </c:pt>
                <c:pt idx="143">
                  <c:v>1.1730623918270258</c:v>
                </c:pt>
                <c:pt idx="144">
                  <c:v>1.1599248730931435</c:v>
                </c:pt>
                <c:pt idx="145">
                  <c:v>1.146654322110751</c:v>
                </c:pt>
                <c:pt idx="146">
                  <c:v>1.1332487877334543</c:v>
                </c:pt>
                <c:pt idx="147">
                  <c:v>1.1197062399472646</c:v>
                </c:pt>
                <c:pt idx="148">
                  <c:v>1.1060245651370189</c:v>
                </c:pt>
                <c:pt idx="149">
                  <c:v>1.0922015609689975</c:v>
                </c:pt>
                <c:pt idx="150">
                  <c:v>1.0782349308504264</c:v>
                </c:pt>
                <c:pt idx="151">
                  <c:v>1.0641222779216444</c:v>
                </c:pt>
                <c:pt idx="152">
                  <c:v>1.0498610985310866</c:v>
                </c:pt>
                <c:pt idx="153">
                  <c:v>1.0354487751367618</c:v>
                </c:pt>
                <c:pt idx="154">
                  <c:v>1.020882568570413</c:v>
                </c:pt>
                <c:pt idx="155">
                  <c:v>1.0061596095918988</c:v>
                </c:pt>
                <c:pt idx="156">
                  <c:v>0.99127688965128558</c:v>
                </c:pt>
                <c:pt idx="157">
                  <c:v>0.97623125076442263</c:v>
                </c:pt>
                <c:pt idx="158">
                  <c:v>0.96101937439410201</c:v>
                </c:pt>
                <c:pt idx="159">
                  <c:v>0.9456377692128517</c:v>
                </c:pt>
                <c:pt idx="160">
                  <c:v>0.93008275760453241</c:v>
                </c:pt>
                <c:pt idx="161">
                  <c:v>0.91435046073959214</c:v>
                </c:pt>
                <c:pt idx="162">
                  <c:v>0.89843678203238642</c:v>
                </c:pt>
                <c:pt idx="163">
                  <c:v>0.8823373887574476</c:v>
                </c:pt>
                <c:pt idx="164">
                  <c:v>0.86604769156389838</c:v>
                </c:pt>
                <c:pt idx="165">
                  <c:v>0.84956282158189966</c:v>
                </c:pt>
                <c:pt idx="166">
                  <c:v>0.83287760476033779</c:v>
                </c:pt>
                <c:pt idx="167">
                  <c:v>0.81598653300856117</c:v>
                </c:pt>
                <c:pt idx="168">
                  <c:v>0.79888373163398374</c:v>
                </c:pt>
                <c:pt idx="169">
                  <c:v>0.78156292246798931</c:v>
                </c:pt>
                <c:pt idx="170">
                  <c:v>0.76401738194985247</c:v>
                </c:pt>
                <c:pt idx="171">
                  <c:v>0.74623989328597462</c:v>
                </c:pt>
                <c:pt idx="172">
                  <c:v>0.72822269161105468</c:v>
                </c:pt>
                <c:pt idx="173">
                  <c:v>0.70995740083759917</c:v>
                </c:pt>
                <c:pt idx="174">
                  <c:v>0.69143496057523013</c:v>
                </c:pt>
                <c:pt idx="175">
                  <c:v>0.67264554111087071</c:v>
                </c:pt>
                <c:pt idx="176">
                  <c:v>0.65357844393683162</c:v>
                </c:pt>
                <c:pt idx="177">
                  <c:v>0.63422198465670032</c:v>
                </c:pt>
                <c:pt idx="178">
                  <c:v>0.61456335423355446</c:v>
                </c:pt>
                <c:pt idx="179">
                  <c:v>0.59458845339278965</c:v>
                </c:pt>
                <c:pt idx="180">
                  <c:v>0.57428169343921798</c:v>
                </c:pt>
                <c:pt idx="181">
                  <c:v>0.55362575462865482</c:v>
                </c:pt>
                <c:pt idx="182">
                  <c:v>0.53260129029981651</c:v>
                </c:pt>
                <c:pt idx="183">
                  <c:v>0.51118656084596592</c:v>
                </c:pt>
                <c:pt idx="184">
                  <c:v>0.48935697570321357</c:v>
                </c:pt>
                <c:pt idx="185">
                  <c:v>0.46708451292776165</c:v>
                </c:pt>
                <c:pt idx="186">
                  <c:v>0.44433697312349713</c:v>
                </c:pt>
                <c:pt idx="187">
                  <c:v>0.42107700495221961</c:v>
                </c:pt>
                <c:pt idx="188">
                  <c:v>0.39726080888391363</c:v>
                </c:pt>
                <c:pt idx="189">
                  <c:v>0.3728363765016709</c:v>
                </c:pt>
                <c:pt idx="190">
                  <c:v>0.34774104021930013</c:v>
                </c:pt>
                <c:pt idx="191">
                  <c:v>0.32189796477860955</c:v>
                </c:pt>
                <c:pt idx="192">
                  <c:v>0.29521094998346431</c:v>
                </c:pt>
                <c:pt idx="193">
                  <c:v>0.26755640795998636</c:v>
                </c:pt>
                <c:pt idx="194">
                  <c:v>0.23877032928251093</c:v>
                </c:pt>
                <c:pt idx="195">
                  <c:v>0.20862567964967033</c:v>
                </c:pt>
                <c:pt idx="196">
                  <c:v>0.17678965570852986</c:v>
                </c:pt>
                <c:pt idx="197">
                  <c:v>0.14273242850438808</c:v>
                </c:pt>
                <c:pt idx="198">
                  <c:v>0.10549268306512911</c:v>
                </c:pt>
                <c:pt idx="199">
                  <c:v>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0-4371-AF67-7AB1F1677149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-2.0900211736591929</c:v>
                </c:pt>
                <c:pt idx="2">
                  <c:v>-2.0897037441009672</c:v>
                </c:pt>
                <c:pt idx="3">
                  <c:v>-2.0891192115876991</c:v>
                </c:pt>
                <c:pt idx="4">
                  <c:v>-2.0883565329254177</c:v>
                </c:pt>
                <c:pt idx="5">
                  <c:v>-2.0874465106116262</c:v>
                </c:pt>
                <c:pt idx="6">
                  <c:v>-2.0864064757839347</c:v>
                </c:pt>
                <c:pt idx="7">
                  <c:v>-2.085247812862808</c:v>
                </c:pt>
                <c:pt idx="8">
                  <c:v>-2.083978655390927</c:v>
                </c:pt>
                <c:pt idx="9">
                  <c:v>-2.082605133177768</c:v>
                </c:pt>
                <c:pt idx="10">
                  <c:v>-2.0811320403216191</c:v>
                </c:pt>
                <c:pt idx="11">
                  <c:v>-2.0795632295901894</c:v>
                </c:pt>
                <c:pt idx="12">
                  <c:v>-2.0779018621160583</c:v>
                </c:pt>
                <c:pt idx="13">
                  <c:v>-2.0761505740800086</c:v>
                </c:pt>
                <c:pt idx="14">
                  <c:v>-2.0743115927012163</c:v>
                </c:pt>
                <c:pt idx="15">
                  <c:v>-2.0723868197045565</c:v>
                </c:pt>
                <c:pt idx="16">
                  <c:v>-2.0703778930687911</c:v>
                </c:pt>
                <c:pt idx="17">
                  <c:v>-2.0682862337799648</c:v>
                </c:pt>
                <c:pt idx="18">
                  <c:v>-2.0661130819377727</c:v>
                </c:pt>
                <c:pt idx="19">
                  <c:v>-2.0638595251183331</c:v>
                </c:pt>
                <c:pt idx="20">
                  <c:v>-2.0615265209867202</c:v>
                </c:pt>
                <c:pt idx="21">
                  <c:v>-2.059114915561167</c:v>
                </c:pt>
                <c:pt idx="22">
                  <c:v>-2.0566254581359122</c:v>
                </c:pt>
                <c:pt idx="23">
                  <c:v>-2.0540588135996205</c:v>
                </c:pt>
                <c:pt idx="24">
                  <c:v>-2.0514155726977097</c:v>
                </c:pt>
                <c:pt idx="25">
                  <c:v>-2.0486962606527355</c:v>
                </c:pt>
                <c:pt idx="26">
                  <c:v>-2.0459013444598506</c:v>
                </c:pt>
                <c:pt idx="27">
                  <c:v>-2.0430312391030037</c:v>
                </c:pt>
                <c:pt idx="28">
                  <c:v>-2.0400863128843381</c:v>
                </c:pt>
                <c:pt idx="29">
                  <c:v>-2.0370668920191499</c:v>
                </c:pt>
                <c:pt idx="30">
                  <c:v>-2.0339732646181159</c:v>
                </c:pt>
                <c:pt idx="31">
                  <c:v>-2.0308056841548643</c:v>
                </c:pt>
                <c:pt idx="32">
                  <c:v>-2.0275643724985568</c:v>
                </c:pt>
                <c:pt idx="33">
                  <c:v>-2.0242495225766559</c:v>
                </c:pt>
                <c:pt idx="34">
                  <c:v>-2.0208613007215765</c:v>
                </c:pt>
                <c:pt idx="35">
                  <c:v>-2.0173998487457365</c:v>
                </c:pt>
                <c:pt idx="36">
                  <c:v>-2.0138652857821393</c:v>
                </c:pt>
                <c:pt idx="37">
                  <c:v>-2.0102577099216203</c:v>
                </c:pt>
                <c:pt idx="38">
                  <c:v>-2.0065771996730075</c:v>
                </c:pt>
                <c:pt idx="39">
                  <c:v>-2.002823815268437</c:v>
                </c:pt>
                <c:pt idx="40">
                  <c:v>-1.9989975998327403</c:v>
                </c:pt>
                <c:pt idx="41">
                  <c:v>-1.9950985804330854</c:v>
                </c:pt>
                <c:pt idx="42">
                  <c:v>-1.991126769022745</c:v>
                </c:pt>
                <c:pt idx="43">
                  <c:v>-1.9870821632909537</c:v>
                </c:pt>
                <c:pt idx="44">
                  <c:v>-1.9829647474291914</c:v>
                </c:pt>
                <c:pt idx="45">
                  <c:v>-1.9787744928228603</c:v>
                </c:pt>
                <c:pt idx="46">
                  <c:v>-1.9745113586761607</c:v>
                </c:pt>
                <c:pt idx="47">
                  <c:v>-1.9701752925769789</c:v>
                </c:pt>
                <c:pt idx="48">
                  <c:v>-1.9657662310077544</c:v>
                </c:pt>
                <c:pt idx="49">
                  <c:v>-1.961284099807554</c:v>
                </c:pt>
                <c:pt idx="50">
                  <c:v>-1.9567288145899686</c:v>
                </c:pt>
                <c:pt idx="51">
                  <c:v>-1.9521002811208865</c:v>
                </c:pt>
                <c:pt idx="52">
                  <c:v>-1.9473983956597405</c:v>
                </c:pt>
                <c:pt idx="53">
                  <c:v>-1.9426230452674065</c:v>
                </c:pt>
                <c:pt idx="54">
                  <c:v>-1.9377741080835753</c:v>
                </c:pt>
                <c:pt idx="55">
                  <c:v>-1.9328514535761077</c:v>
                </c:pt>
                <c:pt idx="56">
                  <c:v>-1.9278549427646015</c:v>
                </c:pt>
                <c:pt idx="57">
                  <c:v>-1.9227844284201667</c:v>
                </c:pt>
                <c:pt idx="58">
                  <c:v>-1.9176397552431768</c:v>
                </c:pt>
                <c:pt idx="59">
                  <c:v>-1.9124207600205896</c:v>
                </c:pt>
                <c:pt idx="60">
                  <c:v>-1.9071272717642476</c:v>
                </c:pt>
                <c:pt idx="61">
                  <c:v>-1.9017591118314334</c:v>
                </c:pt>
                <c:pt idx="62">
                  <c:v>-1.8963160940288062</c:v>
                </c:pt>
                <c:pt idx="63">
                  <c:v>-1.8907980247007368</c:v>
                </c:pt>
                <c:pt idx="64">
                  <c:v>-1.8852047028029495</c:v>
                </c:pt>
                <c:pt idx="65">
                  <c:v>-1.8795359199622743</c:v>
                </c:pt>
                <c:pt idx="66">
                  <c:v>-1.8737914605232378</c:v>
                </c:pt>
                <c:pt idx="67">
                  <c:v>-1.8679711015821292</c:v>
                </c:pt>
                <c:pt idx="68">
                  <c:v>-1.8620746130091173</c:v>
                </c:pt>
                <c:pt idx="69">
                  <c:v>-1.8561017574589205</c:v>
                </c:pt>
                <c:pt idx="70">
                  <c:v>-1.8500522903704777</c:v>
                </c:pt>
                <c:pt idx="71">
                  <c:v>-1.8439259599560054</c:v>
                </c:pt>
                <c:pt idx="72">
                  <c:v>-1.8377225071797858</c:v>
                </c:pt>
                <c:pt idx="73">
                  <c:v>-1.8314416657269741</c:v>
                </c:pt>
                <c:pt idx="74">
                  <c:v>-1.8250831619626762</c:v>
                </c:pt>
                <c:pt idx="75">
                  <c:v>-1.8186467148815031</c:v>
                </c:pt>
                <c:pt idx="76">
                  <c:v>-1.8121320360477711</c:v>
                </c:pt>
                <c:pt idx="77">
                  <c:v>-1.8055388295264845</c:v>
                </c:pt>
                <c:pt idx="78">
                  <c:v>-1.7988667918051966</c:v>
                </c:pt>
                <c:pt idx="79">
                  <c:v>-1.7921156117068171</c:v>
                </c:pt>
                <c:pt idx="80">
                  <c:v>-1.7852849702934033</c:v>
                </c:pt>
                <c:pt idx="81">
                  <c:v>-1.7783745407609362</c:v>
                </c:pt>
                <c:pt idx="82">
                  <c:v>-1.7713839883250659</c:v>
                </c:pt>
                <c:pt idx="83">
                  <c:v>-1.764312970097764</c:v>
                </c:pt>
                <c:pt idx="84">
                  <c:v>-1.7571611349548104</c:v>
                </c:pt>
                <c:pt idx="85">
                  <c:v>-1.7499281233940061</c:v>
                </c:pt>
                <c:pt idx="86">
                  <c:v>-1.7426135673839747</c:v>
                </c:pt>
                <c:pt idx="87">
                  <c:v>-1.7352170902033894</c:v>
                </c:pt>
                <c:pt idx="88">
                  <c:v>-1.7277383062704414</c:v>
                </c:pt>
                <c:pt idx="89">
                  <c:v>-1.7201768209623263</c:v>
                </c:pt>
                <c:pt idx="90">
                  <c:v>-1.7125322304245043</c:v>
                </c:pt>
                <c:pt idx="91">
                  <c:v>-1.7048041213694598</c:v>
                </c:pt>
                <c:pt idx="92">
                  <c:v>-1.6969920708646582</c:v>
                </c:pt>
                <c:pt idx="93">
                  <c:v>-1.6890956461093596</c:v>
                </c:pt>
                <c:pt idx="94">
                  <c:v>-1.6811144041999273</c:v>
                </c:pt>
                <c:pt idx="95">
                  <c:v>-1.673047891883233</c:v>
                </c:pt>
                <c:pt idx="96">
                  <c:v>-1.6648956452977182</c:v>
                </c:pt>
                <c:pt idx="97">
                  <c:v>-1.6566571897016504</c:v>
                </c:pt>
                <c:pt idx="98">
                  <c:v>-1.6483320391880638</c:v>
                </c:pt>
                <c:pt idx="99">
                  <c:v>-1.6399196963858351</c:v>
                </c:pt>
                <c:pt idx="100">
                  <c:v>-1.6314196521463107</c:v>
                </c:pt>
                <c:pt idx="101">
                  <c:v>-1.6228313852148508</c:v>
                </c:pt>
                <c:pt idx="102">
                  <c:v>-1.6141543618866094</c:v>
                </c:pt>
                <c:pt idx="103">
                  <c:v>-1.6053880356458239</c:v>
                </c:pt>
                <c:pt idx="104">
                  <c:v>-1.5965318467878273</c:v>
                </c:pt>
                <c:pt idx="105">
                  <c:v>-1.5875852220229503</c:v>
                </c:pt>
                <c:pt idx="106">
                  <c:v>-1.5785475740614074</c:v>
                </c:pt>
                <c:pt idx="107">
                  <c:v>-1.5694183011782046</c:v>
                </c:pt>
                <c:pt idx="108">
                  <c:v>-1.560196786757039</c:v>
                </c:pt>
                <c:pt idx="109">
                  <c:v>-1.5508823988120735</c:v>
                </c:pt>
                <c:pt idx="110">
                  <c:v>-1.541474489486407</c:v>
                </c:pt>
                <c:pt idx="111">
                  <c:v>-1.5319723945259576</c:v>
                </c:pt>
                <c:pt idx="112">
                  <c:v>-1.5223754327273962</c:v>
                </c:pt>
                <c:pt idx="113">
                  <c:v>-1.5126829053586599</c:v>
                </c:pt>
                <c:pt idx="114">
                  <c:v>-1.5028940955504675</c:v>
                </c:pt>
                <c:pt idx="115">
                  <c:v>-1.493008267657147</c:v>
                </c:pt>
                <c:pt idx="116">
                  <c:v>-1.48302466658495</c:v>
                </c:pt>
                <c:pt idx="117">
                  <c:v>-1.4729425170858921</c:v>
                </c:pt>
                <c:pt idx="118">
                  <c:v>-1.4627610230150208</c:v>
                </c:pt>
                <c:pt idx="119">
                  <c:v>-1.452479366548828</c:v>
                </c:pt>
                <c:pt idx="120">
                  <c:v>-1.4420967073623663</c:v>
                </c:pt>
                <c:pt idx="121">
                  <c:v>-1.4316121817624254</c:v>
                </c:pt>
                <c:pt idx="122">
                  <c:v>-1.4210249017739207</c:v>
                </c:pt>
                <c:pt idx="123">
                  <c:v>-1.4103339541764095</c:v>
                </c:pt>
                <c:pt idx="124">
                  <c:v>-1.3995383994874082</c:v>
                </c:pt>
                <c:pt idx="125">
                  <c:v>-1.3886372708889017</c:v>
                </c:pt>
                <c:pt idx="126">
                  <c:v>-1.3776295730931387</c:v>
                </c:pt>
                <c:pt idx="127">
                  <c:v>-1.3665142811434787</c:v>
                </c:pt>
                <c:pt idx="128">
                  <c:v>-1.3552903391456861</c:v>
                </c:pt>
                <c:pt idx="129">
                  <c:v>-1.3439566589246785</c:v>
                </c:pt>
                <c:pt idx="130">
                  <c:v>-1.332512118601288</c:v>
                </c:pt>
                <c:pt idx="131">
                  <c:v>-1.3209555610831103</c:v>
                </c:pt>
                <c:pt idx="132">
                  <c:v>-1.3092857924629868</c:v>
                </c:pt>
                <c:pt idx="133">
                  <c:v>-1.2975015803180685</c:v>
                </c:pt>
                <c:pt idx="134">
                  <c:v>-1.2856016519017517</c:v>
                </c:pt>
                <c:pt idx="135">
                  <c:v>-1.2735846922200482</c:v>
                </c:pt>
                <c:pt idx="136">
                  <c:v>-1.2614493419831549</c:v>
                </c:pt>
                <c:pt idx="137">
                  <c:v>-1.2491941954220644</c:v>
                </c:pt>
                <c:pt idx="138">
                  <c:v>-1.2368177979590793</c:v>
                </c:pt>
                <c:pt idx="139">
                  <c:v>-1.2243186437199529</c:v>
                </c:pt>
                <c:pt idx="140">
                  <c:v>-1.2116951728741399</c:v>
                </c:pt>
                <c:pt idx="141">
                  <c:v>-1.1989457687882215</c:v>
                </c:pt>
                <c:pt idx="142">
                  <c:v>-1.1860687549760067</c:v>
                </c:pt>
                <c:pt idx="143">
                  <c:v>-1.1730623918270258</c:v>
                </c:pt>
                <c:pt idx="144">
                  <c:v>-1.1599248730931435</c:v>
                </c:pt>
                <c:pt idx="145">
                  <c:v>-1.146654322110751</c:v>
                </c:pt>
                <c:pt idx="146">
                  <c:v>-1.1332487877334543</c:v>
                </c:pt>
                <c:pt idx="147">
                  <c:v>-1.1197062399472646</c:v>
                </c:pt>
                <c:pt idx="148">
                  <c:v>-1.1060245651370189</c:v>
                </c:pt>
                <c:pt idx="149">
                  <c:v>-1.0922015609689975</c:v>
                </c:pt>
                <c:pt idx="150">
                  <c:v>-1.0782349308504264</c:v>
                </c:pt>
                <c:pt idx="151">
                  <c:v>-1.0641222779216444</c:v>
                </c:pt>
                <c:pt idx="152">
                  <c:v>-1.0498610985310866</c:v>
                </c:pt>
                <c:pt idx="153">
                  <c:v>-1.0354487751367618</c:v>
                </c:pt>
                <c:pt idx="154">
                  <c:v>-1.020882568570413</c:v>
                </c:pt>
                <c:pt idx="155">
                  <c:v>-1.0061596095918988</c:v>
                </c:pt>
                <c:pt idx="156">
                  <c:v>-0.99127688965128558</c:v>
                </c:pt>
                <c:pt idx="157">
                  <c:v>-0.97623125076442263</c:v>
                </c:pt>
                <c:pt idx="158">
                  <c:v>-0.96101937439410201</c:v>
                </c:pt>
                <c:pt idx="159">
                  <c:v>-0.9456377692128517</c:v>
                </c:pt>
                <c:pt idx="160">
                  <c:v>-0.93008275760453241</c:v>
                </c:pt>
                <c:pt idx="161">
                  <c:v>-0.91435046073959214</c:v>
                </c:pt>
                <c:pt idx="162">
                  <c:v>-0.89843678203238642</c:v>
                </c:pt>
                <c:pt idx="163">
                  <c:v>-0.8823373887574476</c:v>
                </c:pt>
                <c:pt idx="164">
                  <c:v>-0.86604769156389838</c:v>
                </c:pt>
                <c:pt idx="165">
                  <c:v>-0.84956282158189966</c:v>
                </c:pt>
                <c:pt idx="166">
                  <c:v>-0.83287760476033779</c:v>
                </c:pt>
                <c:pt idx="167">
                  <c:v>-0.81598653300856117</c:v>
                </c:pt>
                <c:pt idx="168">
                  <c:v>-0.79888373163398374</c:v>
                </c:pt>
                <c:pt idx="169">
                  <c:v>-0.78156292246798931</c:v>
                </c:pt>
                <c:pt idx="170">
                  <c:v>-0.76401738194985247</c:v>
                </c:pt>
                <c:pt idx="171">
                  <c:v>-0.74623989328597462</c:v>
                </c:pt>
                <c:pt idx="172">
                  <c:v>-0.72822269161105468</c:v>
                </c:pt>
                <c:pt idx="173">
                  <c:v>-0.70995740083759917</c:v>
                </c:pt>
                <c:pt idx="174">
                  <c:v>-0.69143496057523013</c:v>
                </c:pt>
                <c:pt idx="175">
                  <c:v>-0.67264554111087071</c:v>
                </c:pt>
                <c:pt idx="176">
                  <c:v>-0.65357844393683162</c:v>
                </c:pt>
                <c:pt idx="177">
                  <c:v>-0.63422198465670032</c:v>
                </c:pt>
                <c:pt idx="178">
                  <c:v>-0.61456335423355446</c:v>
                </c:pt>
                <c:pt idx="179">
                  <c:v>-0.59458845339278965</c:v>
                </c:pt>
                <c:pt idx="180">
                  <c:v>-0.57428169343921798</c:v>
                </c:pt>
                <c:pt idx="181">
                  <c:v>-0.55362575462865482</c:v>
                </c:pt>
                <c:pt idx="182">
                  <c:v>-0.53260129029981651</c:v>
                </c:pt>
                <c:pt idx="183">
                  <c:v>-0.51118656084596592</c:v>
                </c:pt>
                <c:pt idx="184">
                  <c:v>-0.48935697570321357</c:v>
                </c:pt>
                <c:pt idx="185">
                  <c:v>-0.46708451292776165</c:v>
                </c:pt>
                <c:pt idx="186">
                  <c:v>-0.44433697312349713</c:v>
                </c:pt>
                <c:pt idx="187">
                  <c:v>-0.42107700495221961</c:v>
                </c:pt>
                <c:pt idx="188">
                  <c:v>-0.39726080888391363</c:v>
                </c:pt>
                <c:pt idx="189">
                  <c:v>-0.3728363765016709</c:v>
                </c:pt>
                <c:pt idx="190">
                  <c:v>-0.34774104021930013</c:v>
                </c:pt>
                <c:pt idx="191">
                  <c:v>-0.32189796477860955</c:v>
                </c:pt>
                <c:pt idx="192">
                  <c:v>-0.29521094998346431</c:v>
                </c:pt>
                <c:pt idx="193">
                  <c:v>-0.26755640795998636</c:v>
                </c:pt>
                <c:pt idx="194">
                  <c:v>-0.23877032928251093</c:v>
                </c:pt>
                <c:pt idx="195">
                  <c:v>-0.20862567964967033</c:v>
                </c:pt>
                <c:pt idx="196">
                  <c:v>-0.17678965570852986</c:v>
                </c:pt>
                <c:pt idx="197">
                  <c:v>-0.14273242850438808</c:v>
                </c:pt>
                <c:pt idx="198">
                  <c:v>-0.10549268306512911</c:v>
                </c:pt>
                <c:pt idx="199">
                  <c:v>-6.2837116273652863E-2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0-4371-AF67-7AB1F1677149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0-4371-AF67-7AB1F167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76</xdr:row>
      <xdr:rowOff>176893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3"/>
  <sheetViews>
    <sheetView tabSelected="1" topLeftCell="A6" zoomScale="70" zoomScaleNormal="70" workbookViewId="0">
      <selection activeCell="D16" sqref="D16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55000000000000004">
      <c r="A3" s="29" t="s">
        <v>75</v>
      </c>
      <c r="B3" s="29">
        <f>B40</f>
        <v>3.2486600000000004E-2</v>
      </c>
      <c r="C3" s="29" t="s">
        <v>74</v>
      </c>
      <c r="D3" s="29" t="s">
        <v>112</v>
      </c>
      <c r="E3" s="26"/>
    </row>
    <row r="4" spans="1:5" x14ac:dyDescent="0.55000000000000004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55000000000000004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55000000000000004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55000000000000004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55000000000000004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55000000000000004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55000000000000004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55000000000000004">
      <c r="A11" s="4" t="s">
        <v>133</v>
      </c>
      <c r="B11" s="4">
        <v>0.12600800000000001</v>
      </c>
      <c r="C11" s="4" t="s">
        <v>77</v>
      </c>
      <c r="D11" s="4" t="s">
        <v>138</v>
      </c>
      <c r="E11" s="26"/>
    </row>
    <row r="12" spans="1:5" x14ac:dyDescent="0.55000000000000004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55000000000000004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55000000000000004">
      <c r="A14" s="29" t="s">
        <v>149</v>
      </c>
      <c r="B14" s="29">
        <f>(B17/2)^2*PI()</f>
        <v>1.9359279329583704E-2</v>
      </c>
      <c r="C14" s="29" t="s">
        <v>74</v>
      </c>
      <c r="D14" s="29"/>
      <c r="E14" s="26"/>
    </row>
    <row r="15" spans="1:5" x14ac:dyDescent="0.55000000000000004">
      <c r="A15" s="29" t="s">
        <v>184</v>
      </c>
      <c r="B15" s="29">
        <f>B16</f>
        <v>0.10016</v>
      </c>
      <c r="C15" s="29"/>
      <c r="D15" s="29" t="s">
        <v>185</v>
      </c>
      <c r="E15" s="26"/>
    </row>
    <row r="16" spans="1:5" x14ac:dyDescent="0.55000000000000004">
      <c r="A16" s="4" t="s">
        <v>81</v>
      </c>
      <c r="B16" s="26">
        <f>0.10016</f>
        <v>0.10016</v>
      </c>
      <c r="C16" s="26" t="s">
        <v>74</v>
      </c>
      <c r="D16" s="26"/>
      <c r="E16" s="26"/>
    </row>
    <row r="17" spans="1:5" x14ac:dyDescent="0.55000000000000004">
      <c r="A17" s="29" t="s">
        <v>83</v>
      </c>
      <c r="B17" s="29">
        <v>0.157</v>
      </c>
      <c r="C17" s="29" t="s">
        <v>77</v>
      </c>
      <c r="D17" s="29"/>
      <c r="E17" s="26"/>
    </row>
    <row r="18" spans="1:5" x14ac:dyDescent="0.55000000000000004">
      <c r="A18" s="29" t="s">
        <v>84</v>
      </c>
      <c r="B18" s="30">
        <v>6.0000000000000002E-5</v>
      </c>
      <c r="C18" s="29" t="s">
        <v>77</v>
      </c>
      <c r="D18" s="29"/>
      <c r="E18" s="26"/>
    </row>
    <row r="19" spans="1:5" x14ac:dyDescent="0.55000000000000004">
      <c r="A19" s="29" t="s">
        <v>85</v>
      </c>
      <c r="B19" s="29">
        <v>3.63</v>
      </c>
      <c r="C19" s="29" t="s">
        <v>77</v>
      </c>
      <c r="D19" s="29" t="s">
        <v>111</v>
      </c>
      <c r="E19" s="26"/>
    </row>
    <row r="20" spans="1:5" x14ac:dyDescent="0.55000000000000004">
      <c r="A20" s="32" t="s">
        <v>99</v>
      </c>
      <c r="B20" s="32">
        <v>101325</v>
      </c>
      <c r="C20" s="32" t="s">
        <v>86</v>
      </c>
      <c r="D20" s="32">
        <v>101100</v>
      </c>
      <c r="E20" s="26"/>
    </row>
    <row r="21" spans="1:5" x14ac:dyDescent="0.55000000000000004">
      <c r="A21" s="29" t="s">
        <v>100</v>
      </c>
      <c r="B21" s="29">
        <v>289.5</v>
      </c>
      <c r="C21" s="29" t="s">
        <v>114</v>
      </c>
      <c r="D21" s="29" t="s">
        <v>177</v>
      </c>
      <c r="E21" s="26"/>
    </row>
    <row r="22" spans="1:5" x14ac:dyDescent="0.55000000000000004">
      <c r="A22" s="29" t="s">
        <v>87</v>
      </c>
      <c r="B22" s="29">
        <v>2.16</v>
      </c>
      <c r="C22" s="29" t="s">
        <v>77</v>
      </c>
      <c r="D22" s="29" t="s">
        <v>111</v>
      </c>
      <c r="E22" s="26"/>
    </row>
    <row r="23" spans="1:5" x14ac:dyDescent="0.55000000000000004">
      <c r="A23" s="29" t="s">
        <v>88</v>
      </c>
      <c r="B23" s="29">
        <v>2.5299999999999998</v>
      </c>
      <c r="C23" s="29" t="s">
        <v>77</v>
      </c>
      <c r="D23" s="29" t="s">
        <v>111</v>
      </c>
      <c r="E23" s="26"/>
    </row>
    <row r="24" spans="1:5" x14ac:dyDescent="0.55000000000000004">
      <c r="A24" s="29" t="s">
        <v>142</v>
      </c>
      <c r="B24" s="29">
        <f>D24*PI()/180</f>
        <v>8.7266462599716474E-2</v>
      </c>
      <c r="C24" s="29" t="s">
        <v>90</v>
      </c>
      <c r="D24" s="29">
        <f>5</f>
        <v>5</v>
      </c>
      <c r="E24" s="26" t="s">
        <v>39</v>
      </c>
    </row>
    <row r="25" spans="1:5" x14ac:dyDescent="0.55000000000000004">
      <c r="A25" s="32" t="s">
        <v>91</v>
      </c>
      <c r="B25" s="32">
        <v>1.61E-2</v>
      </c>
      <c r="C25" s="32" t="s">
        <v>77</v>
      </c>
      <c r="D25" s="32" t="s">
        <v>150</v>
      </c>
      <c r="E25" s="26"/>
    </row>
    <row r="26" spans="1:5" x14ac:dyDescent="0.55000000000000004">
      <c r="A26" s="32" t="s">
        <v>92</v>
      </c>
      <c r="B26" s="32">
        <v>0</v>
      </c>
      <c r="C26" s="32" t="s">
        <v>77</v>
      </c>
      <c r="D26" s="32"/>
      <c r="E26" s="26"/>
    </row>
    <row r="27" spans="1:5" x14ac:dyDescent="0.55000000000000004">
      <c r="A27" s="29" t="s">
        <v>165</v>
      </c>
      <c r="B27" s="29">
        <v>3.05</v>
      </c>
      <c r="C27" s="29" t="s">
        <v>77</v>
      </c>
      <c r="D27" s="29"/>
      <c r="E27" s="26"/>
    </row>
    <row r="28" spans="1:5" x14ac:dyDescent="0.55000000000000004">
      <c r="A28" s="29" t="s">
        <v>93</v>
      </c>
      <c r="B28" s="29">
        <v>28.635000000000002</v>
      </c>
      <c r="C28" s="29" t="s">
        <v>94</v>
      </c>
      <c r="D28" s="29" t="s">
        <v>146</v>
      </c>
      <c r="E28" s="26"/>
    </row>
    <row r="29" spans="1:5" x14ac:dyDescent="0.55000000000000004">
      <c r="A29" s="29" t="s">
        <v>98</v>
      </c>
      <c r="B29" s="29">
        <v>405</v>
      </c>
      <c r="C29" s="29" t="s">
        <v>77</v>
      </c>
      <c r="D29" s="28" t="s">
        <v>176</v>
      </c>
      <c r="E29" s="26"/>
    </row>
    <row r="30" spans="1:5" x14ac:dyDescent="0.55000000000000004">
      <c r="A30" s="29" t="s">
        <v>101</v>
      </c>
      <c r="B30" s="29">
        <v>0.78400000000000003</v>
      </c>
      <c r="C30" s="29" t="s">
        <v>77</v>
      </c>
      <c r="D30" s="29" t="s">
        <v>175</v>
      </c>
      <c r="E30" s="26"/>
    </row>
    <row r="31" spans="1:5" x14ac:dyDescent="0.55000000000000004">
      <c r="A31" s="29" t="s">
        <v>102</v>
      </c>
      <c r="B31" s="29">
        <f>B44-B37</f>
        <v>13.380840000000006</v>
      </c>
      <c r="C31" s="29" t="s">
        <v>103</v>
      </c>
      <c r="D31" s="29"/>
      <c r="E31" s="26" t="s">
        <v>109</v>
      </c>
    </row>
    <row r="32" spans="1:5" x14ac:dyDescent="0.55000000000000004">
      <c r="A32" s="29" t="s">
        <v>143</v>
      </c>
      <c r="B32" s="29">
        <f>B31/9.81</f>
        <v>1.3640000000000005</v>
      </c>
      <c r="C32" s="29" t="s">
        <v>109</v>
      </c>
      <c r="D32" s="29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29" t="s">
        <v>105</v>
      </c>
      <c r="B34" s="29">
        <f>(B31-B33)/B46/9.81</f>
        <v>0.41825095057034239</v>
      </c>
      <c r="C34" s="29" t="s">
        <v>106</v>
      </c>
      <c r="D34" s="29"/>
      <c r="E34" s="26">
        <f>B43/B46</f>
        <v>0.41825095057034223</v>
      </c>
    </row>
    <row r="35" spans="1:5" x14ac:dyDescent="0.55000000000000004">
      <c r="A35" s="29" t="s">
        <v>121</v>
      </c>
      <c r="B35" s="29">
        <f>B43*9.81/B46</f>
        <v>4.1030418250950573</v>
      </c>
      <c r="C35" s="29" t="s">
        <v>123</v>
      </c>
      <c r="D35" s="29" t="s">
        <v>122</v>
      </c>
      <c r="E35" s="26"/>
    </row>
    <row r="36" spans="1:5" x14ac:dyDescent="0.55000000000000004">
      <c r="A36" s="29" t="s">
        <v>107</v>
      </c>
      <c r="B36" s="29">
        <v>19.082000000000001</v>
      </c>
      <c r="C36" s="29" t="s">
        <v>109</v>
      </c>
      <c r="D36" s="29"/>
      <c r="E36" s="26">
        <f>(B44-B42)/9.81</f>
        <v>19.452999999999999</v>
      </c>
    </row>
    <row r="37" spans="1:5" x14ac:dyDescent="0.55000000000000004">
      <c r="A37" s="29" t="s">
        <v>108</v>
      </c>
      <c r="B37" s="29">
        <f>B44-B42</f>
        <v>190.83393000000001</v>
      </c>
      <c r="C37" s="29" t="s">
        <v>103</v>
      </c>
      <c r="D37" s="29"/>
      <c r="E37" s="26">
        <f>(B44-B42)</f>
        <v>190.83393000000001</v>
      </c>
    </row>
    <row r="38" spans="1:5" x14ac:dyDescent="0.55000000000000004">
      <c r="A38" s="29" t="s">
        <v>144</v>
      </c>
      <c r="B38" s="29">
        <v>2.0529000000000002</v>
      </c>
      <c r="C38" s="29" t="s">
        <v>77</v>
      </c>
      <c r="D38" s="29"/>
      <c r="E38" s="26"/>
    </row>
    <row r="39" spans="1:5" x14ac:dyDescent="0.55000000000000004">
      <c r="A39" s="29" t="s">
        <v>147</v>
      </c>
      <c r="B39" s="29">
        <v>26.114000000000001</v>
      </c>
      <c r="C39" s="29" t="s">
        <v>94</v>
      </c>
      <c r="D39" s="29" t="s">
        <v>148</v>
      </c>
      <c r="E39" s="26"/>
    </row>
    <row r="40" spans="1:5" x14ac:dyDescent="0.55000000000000004">
      <c r="A40" s="29" t="s">
        <v>110</v>
      </c>
      <c r="B40" s="29">
        <f>(B12+B13)/2*B7</f>
        <v>3.2486600000000004E-2</v>
      </c>
      <c r="C40" s="29" t="s">
        <v>74</v>
      </c>
      <c r="D40" s="29"/>
      <c r="E40" s="26"/>
    </row>
    <row r="41" spans="1:5" x14ac:dyDescent="0.55000000000000004">
      <c r="A41" s="29" t="s">
        <v>110</v>
      </c>
      <c r="B41" s="4">
        <f>B16</f>
        <v>0.10016</v>
      </c>
      <c r="C41" s="4" t="s">
        <v>74</v>
      </c>
      <c r="D41" s="4" t="s">
        <v>138</v>
      </c>
      <c r="E41" s="26"/>
    </row>
    <row r="42" spans="1:5" x14ac:dyDescent="0.55000000000000004">
      <c r="A42" s="29" t="s">
        <v>115</v>
      </c>
      <c r="B42" s="29">
        <f>B43*9.81</f>
        <v>13.380840000000001</v>
      </c>
      <c r="C42" s="29" t="s">
        <v>103</v>
      </c>
      <c r="D42" s="29"/>
      <c r="E42" s="26"/>
    </row>
    <row r="43" spans="1:5" x14ac:dyDescent="0.55000000000000004">
      <c r="A43" s="29" t="s">
        <v>117</v>
      </c>
      <c r="B43" s="29">
        <v>1.3640000000000001</v>
      </c>
      <c r="C43" s="29" t="s">
        <v>109</v>
      </c>
      <c r="D43" s="29"/>
      <c r="E43" s="26"/>
    </row>
    <row r="44" spans="1:5" x14ac:dyDescent="0.55000000000000004">
      <c r="A44" s="29" t="s">
        <v>116</v>
      </c>
      <c r="B44" s="29">
        <f>B45*9.81</f>
        <v>204.21477000000002</v>
      </c>
      <c r="C44" s="29" t="s">
        <v>103</v>
      </c>
      <c r="D44" s="29">
        <f>B31+B37</f>
        <v>204.21477000000002</v>
      </c>
      <c r="E44" s="26"/>
    </row>
    <row r="45" spans="1:5" x14ac:dyDescent="0.55000000000000004">
      <c r="A45" s="29" t="s">
        <v>118</v>
      </c>
      <c r="B45" s="29">
        <v>20.817</v>
      </c>
      <c r="C45" s="29" t="s">
        <v>109</v>
      </c>
      <c r="D45" s="29">
        <f>(B31+B37)/9.81</f>
        <v>20.817</v>
      </c>
      <c r="E45" s="26"/>
    </row>
    <row r="46" spans="1:5" x14ac:dyDescent="0.55000000000000004">
      <c r="A46" s="29" t="s">
        <v>120</v>
      </c>
      <c r="B46" s="29">
        <v>3.2612000000000001</v>
      </c>
      <c r="C46" s="29" t="s">
        <v>119</v>
      </c>
      <c r="D46" s="29"/>
      <c r="E46" s="26"/>
    </row>
    <row r="47" spans="1:5" x14ac:dyDescent="0.55000000000000004">
      <c r="A47" s="28" t="s">
        <v>128</v>
      </c>
      <c r="B47" s="28">
        <v>0.87</v>
      </c>
      <c r="C47" s="28"/>
      <c r="D47" s="28" t="s">
        <v>129</v>
      </c>
      <c r="E47" s="26"/>
    </row>
    <row r="48" spans="1:5" x14ac:dyDescent="0.55000000000000004">
      <c r="A48" s="28" t="s">
        <v>127</v>
      </c>
      <c r="B48" s="28">
        <v>0.7</v>
      </c>
      <c r="C48" s="28"/>
      <c r="D48" s="28" t="s">
        <v>129</v>
      </c>
      <c r="E48" s="26"/>
    </row>
    <row r="49" spans="1:5" x14ac:dyDescent="0.55000000000000004">
      <c r="A49" s="29" t="s">
        <v>124</v>
      </c>
      <c r="B49" s="29">
        <f>2*B7+B17</f>
        <v>0.41100000000000003</v>
      </c>
      <c r="C49" s="29" t="s">
        <v>77</v>
      </c>
      <c r="D49" s="28" t="s">
        <v>131</v>
      </c>
      <c r="E49" s="26"/>
    </row>
    <row r="50" spans="1:5" x14ac:dyDescent="0.55000000000000004">
      <c r="A50" s="29" t="s">
        <v>125</v>
      </c>
      <c r="B50" s="29">
        <f>B40</f>
        <v>3.2486600000000004E-2</v>
      </c>
      <c r="C50" s="29" t="s">
        <v>74</v>
      </c>
      <c r="D50" s="29" t="s">
        <v>130</v>
      </c>
      <c r="E50" s="26"/>
    </row>
    <row r="51" spans="1:5" x14ac:dyDescent="0.55000000000000004">
      <c r="A51" s="29" t="s">
        <v>126</v>
      </c>
      <c r="B51" s="29">
        <f>B50</f>
        <v>3.2486600000000004E-2</v>
      </c>
      <c r="C51" s="29" t="s">
        <v>74</v>
      </c>
      <c r="D51" s="29" t="s">
        <v>138</v>
      </c>
      <c r="E51" s="26"/>
    </row>
    <row r="52" spans="1:5" x14ac:dyDescent="0.55000000000000004">
      <c r="A52" s="29" t="s">
        <v>151</v>
      </c>
      <c r="B52" s="29">
        <f>B50+0.5*B17*B12</f>
        <v>6.0361950000000011E-2</v>
      </c>
      <c r="C52" s="29" t="s">
        <v>74</v>
      </c>
      <c r="D52" s="29" t="s">
        <v>152</v>
      </c>
      <c r="E52" s="26"/>
    </row>
    <row r="53" spans="1:5" x14ac:dyDescent="0.55000000000000004">
      <c r="A53" s="29" t="s">
        <v>132</v>
      </c>
      <c r="B53" s="29">
        <f>B19-B12</f>
        <v>3.2748999999999997</v>
      </c>
      <c r="C53" s="29" t="s">
        <v>77</v>
      </c>
      <c r="D53" s="29" t="s">
        <v>138</v>
      </c>
      <c r="E53" s="26"/>
    </row>
    <row r="54" spans="1:5" x14ac:dyDescent="0.55000000000000004">
      <c r="A54" s="29" t="s">
        <v>153</v>
      </c>
      <c r="B54" s="29">
        <f>0.5*B10*2*COS(PI()/6)*B49 + B51*COS(PI()/6)*2</f>
        <v>9.2395990522140647E-2</v>
      </c>
      <c r="C54" s="29" t="s">
        <v>74</v>
      </c>
      <c r="D54" s="29" t="s">
        <v>154</v>
      </c>
      <c r="E54" s="26"/>
    </row>
    <row r="55" spans="1:5" x14ac:dyDescent="0.55000000000000004">
      <c r="A55" s="4" t="s">
        <v>155</v>
      </c>
      <c r="B55" s="4">
        <v>3.805E-2</v>
      </c>
      <c r="C55" s="4" t="s">
        <v>74</v>
      </c>
      <c r="D55" s="4"/>
      <c r="E55" s="26"/>
    </row>
    <row r="56" spans="1:5" x14ac:dyDescent="0.55000000000000004">
      <c r="A56" s="29" t="s">
        <v>156</v>
      </c>
      <c r="B56" s="29">
        <f>(B53-B30)*B17</f>
        <v>0.39107130000000001</v>
      </c>
      <c r="C56" s="29" t="s">
        <v>74</v>
      </c>
      <c r="D56" s="29" t="s">
        <v>157</v>
      </c>
      <c r="E56" s="26"/>
    </row>
    <row r="57" spans="1:5" x14ac:dyDescent="0.55000000000000004">
      <c r="A57" s="29" t="s">
        <v>136</v>
      </c>
      <c r="B57" s="29">
        <f>SUM(B54:B56)</f>
        <v>0.52151729052214069</v>
      </c>
      <c r="C57" s="29" t="s">
        <v>74</v>
      </c>
      <c r="D57" s="29" t="s">
        <v>138</v>
      </c>
      <c r="E57" s="26"/>
    </row>
    <row r="58" spans="1:5" x14ac:dyDescent="0.55000000000000004">
      <c r="A58" s="32" t="s">
        <v>137</v>
      </c>
      <c r="B58" s="32">
        <v>2.5178129999999999</v>
      </c>
      <c r="C58" s="32" t="s">
        <v>77</v>
      </c>
      <c r="D58" s="32" t="s">
        <v>138</v>
      </c>
      <c r="E58" s="26"/>
    </row>
    <row r="59" spans="1:5" x14ac:dyDescent="0.55000000000000004">
      <c r="A59" s="29" t="s">
        <v>139</v>
      </c>
      <c r="B59" s="29">
        <v>0.64900000000000002</v>
      </c>
      <c r="C59" s="29" t="s">
        <v>77</v>
      </c>
      <c r="D59" s="29"/>
      <c r="E59" s="26"/>
    </row>
    <row r="60" spans="1:5" x14ac:dyDescent="0.55000000000000004">
      <c r="A60" s="29" t="s">
        <v>140</v>
      </c>
      <c r="B60" s="29">
        <f>B61+(B19-B59)</f>
        <v>3.3054999999999999</v>
      </c>
      <c r="C60" s="29" t="s">
        <v>77</v>
      </c>
      <c r="D60" s="29"/>
      <c r="E60" s="26"/>
    </row>
    <row r="61" spans="1:5" x14ac:dyDescent="0.55000000000000004">
      <c r="A61" s="29" t="s">
        <v>145</v>
      </c>
      <c r="B61" s="29">
        <f>B59/2</f>
        <v>0.32450000000000001</v>
      </c>
      <c r="C61" s="29" t="s">
        <v>77</v>
      </c>
      <c r="D61" s="29" t="s">
        <v>141</v>
      </c>
      <c r="E61" s="26"/>
    </row>
    <row r="62" spans="1:5" x14ac:dyDescent="0.55000000000000004">
      <c r="A62" s="29" t="s">
        <v>158</v>
      </c>
      <c r="B62" s="29">
        <f>(B53+(B19-B53)/2)</f>
        <v>3.4524499999999998</v>
      </c>
      <c r="C62" s="29"/>
      <c r="D62" s="28" t="s">
        <v>162</v>
      </c>
      <c r="E62" s="26"/>
    </row>
    <row r="63" spans="1:5" x14ac:dyDescent="0.55000000000000004">
      <c r="A63" s="29" t="s">
        <v>159</v>
      </c>
      <c r="B63" s="29">
        <f>2/3*B30</f>
        <v>0.52266666666666661</v>
      </c>
      <c r="C63" s="29"/>
      <c r="D63" s="28" t="s">
        <v>161</v>
      </c>
      <c r="E63" s="26"/>
    </row>
    <row r="64" spans="1:5" x14ac:dyDescent="0.55000000000000004">
      <c r="A64" s="29" t="s">
        <v>160</v>
      </c>
      <c r="B64" s="29">
        <f>(B53-B30)/2</f>
        <v>1.2454499999999999</v>
      </c>
      <c r="C64" s="29"/>
      <c r="D64" s="29"/>
      <c r="E64" s="26"/>
    </row>
    <row r="65" spans="1:5" x14ac:dyDescent="0.55000000000000004">
      <c r="A65" s="29" t="s">
        <v>163</v>
      </c>
      <c r="B65" s="29">
        <f>(B62*B54+B63*B55+B64*B56)/B57</f>
        <v>1.5837245854359001</v>
      </c>
      <c r="C65" s="29"/>
      <c r="D65" s="29"/>
      <c r="E65" s="26"/>
    </row>
    <row r="66" spans="1:5" x14ac:dyDescent="0.55000000000000004">
      <c r="A66" s="32" t="s">
        <v>164</v>
      </c>
      <c r="B66" s="32">
        <f>D66*PI()/180</f>
        <v>6.9813170079773182E-2</v>
      </c>
      <c r="C66" s="32" t="s">
        <v>90</v>
      </c>
      <c r="D66" s="32">
        <v>4</v>
      </c>
      <c r="E66" s="32" t="s">
        <v>170</v>
      </c>
    </row>
    <row r="67" spans="1:5" x14ac:dyDescent="0.55000000000000004">
      <c r="A67" s="32" t="s">
        <v>166</v>
      </c>
      <c r="B67" s="32">
        <v>0.12</v>
      </c>
      <c r="C67" s="32" t="s">
        <v>119</v>
      </c>
      <c r="D67" s="32"/>
      <c r="E67" s="32"/>
    </row>
    <row r="68" spans="1:5" x14ac:dyDescent="0.55000000000000004">
      <c r="A68" s="32" t="s">
        <v>167</v>
      </c>
      <c r="B68" s="32">
        <f>B66/1</f>
        <v>6.9813170079773182E-2</v>
      </c>
      <c r="C68" s="32"/>
      <c r="D68" s="32"/>
      <c r="E68" s="32"/>
    </row>
    <row r="69" spans="1:5" x14ac:dyDescent="0.55000000000000004">
      <c r="A69" s="32" t="s">
        <v>168</v>
      </c>
      <c r="B69" s="32">
        <f>PI()/2</f>
        <v>1.5707963267948966</v>
      </c>
      <c r="C69" s="32"/>
      <c r="D69" s="32"/>
      <c r="E69" s="32"/>
    </row>
    <row r="70" spans="1:5" x14ac:dyDescent="0.55000000000000004">
      <c r="A70" s="32" t="s">
        <v>169</v>
      </c>
      <c r="B70" s="32">
        <v>0.02</v>
      </c>
      <c r="C70" s="32"/>
      <c r="D70" s="32"/>
      <c r="E70" s="32"/>
    </row>
    <row r="71" spans="1:5" x14ac:dyDescent="0.55000000000000004">
      <c r="A71" s="32" t="s">
        <v>171</v>
      </c>
      <c r="B71" s="32">
        <v>0.01</v>
      </c>
      <c r="C71" s="32"/>
      <c r="D71" s="32"/>
      <c r="E71" s="32"/>
    </row>
    <row r="72" spans="1:5" x14ac:dyDescent="0.55000000000000004">
      <c r="A72" s="32" t="s">
        <v>173</v>
      </c>
      <c r="B72" s="32">
        <v>-1.5</v>
      </c>
      <c r="C72" s="32"/>
      <c r="D72" s="32" t="s">
        <v>174</v>
      </c>
      <c r="E72" s="32"/>
    </row>
    <row r="73" spans="1:5" x14ac:dyDescent="0.55000000000000004">
      <c r="A73" s="31" t="s">
        <v>178</v>
      </c>
      <c r="B73" s="31">
        <v>2</v>
      </c>
      <c r="D73" t="s">
        <v>183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3" t="s">
        <v>179</v>
      </c>
      <c r="B1" s="33" t="s">
        <v>180</v>
      </c>
      <c r="C1" s="34" t="s">
        <v>181</v>
      </c>
      <c r="E1" t="s">
        <v>182</v>
      </c>
    </row>
    <row r="2" spans="1:6" x14ac:dyDescent="0.55000000000000004">
      <c r="A2" s="33">
        <v>0</v>
      </c>
      <c r="B2" s="33">
        <v>0</v>
      </c>
      <c r="C2" s="36">
        <v>0</v>
      </c>
      <c r="E2" t="s">
        <v>179</v>
      </c>
      <c r="F2" t="s">
        <v>180</v>
      </c>
    </row>
    <row r="3" spans="1:6" x14ac:dyDescent="0.55000000000000004">
      <c r="A3" s="35">
        <v>0</v>
      </c>
      <c r="B3">
        <v>2.0900211736591929</v>
      </c>
      <c r="C3">
        <v>-2.0900211736591929</v>
      </c>
      <c r="E3">
        <v>6.0580000000000007</v>
      </c>
      <c r="F3">
        <v>0</v>
      </c>
    </row>
    <row r="4" spans="1:6" x14ac:dyDescent="0.55000000000000004">
      <c r="A4" s="35">
        <v>6.5326633165829151E-2</v>
      </c>
      <c r="B4">
        <v>2.0897037441009672</v>
      </c>
      <c r="C4">
        <v>-2.0897037441009672</v>
      </c>
    </row>
    <row r="5" spans="1:6" x14ac:dyDescent="0.55000000000000004">
      <c r="A5" s="35">
        <v>0.1306532663316583</v>
      </c>
      <c r="B5">
        <v>2.0891192115876991</v>
      </c>
      <c r="C5">
        <v>-2.0891192115876991</v>
      </c>
    </row>
    <row r="6" spans="1:6" x14ac:dyDescent="0.55000000000000004">
      <c r="A6" s="35">
        <v>0.19597989949748743</v>
      </c>
      <c r="B6">
        <v>2.0883565329254177</v>
      </c>
      <c r="C6">
        <v>-2.0883565329254177</v>
      </c>
    </row>
    <row r="7" spans="1:6" x14ac:dyDescent="0.55000000000000004">
      <c r="A7" s="35">
        <v>0.2613065326633166</v>
      </c>
      <c r="B7">
        <v>2.0874465106116262</v>
      </c>
      <c r="C7">
        <v>-2.0874465106116262</v>
      </c>
    </row>
    <row r="8" spans="1:6" x14ac:dyDescent="0.55000000000000004">
      <c r="A8" s="35">
        <v>0.32663316582914576</v>
      </c>
      <c r="B8">
        <v>2.0864064757839347</v>
      </c>
      <c r="C8">
        <v>-2.0864064757839347</v>
      </c>
    </row>
    <row r="9" spans="1:6" x14ac:dyDescent="0.55000000000000004">
      <c r="A9" s="35">
        <v>0.39195979899497485</v>
      </c>
      <c r="B9">
        <v>2.085247812862808</v>
      </c>
      <c r="C9">
        <v>-2.085247812862808</v>
      </c>
    </row>
    <row r="10" spans="1:6" x14ac:dyDescent="0.55000000000000004">
      <c r="A10" s="35">
        <v>0.457286432160804</v>
      </c>
      <c r="B10">
        <v>2.083978655390927</v>
      </c>
      <c r="C10">
        <v>-2.083978655390927</v>
      </c>
    </row>
    <row r="11" spans="1:6" x14ac:dyDescent="0.55000000000000004">
      <c r="A11" s="35">
        <v>0.52261306532663321</v>
      </c>
      <c r="B11">
        <v>2.082605133177768</v>
      </c>
      <c r="C11">
        <v>-2.082605133177768</v>
      </c>
    </row>
    <row r="12" spans="1:6" x14ac:dyDescent="0.55000000000000004">
      <c r="A12" s="35">
        <v>0.5879396984924623</v>
      </c>
      <c r="B12">
        <v>2.0811320403216191</v>
      </c>
      <c r="C12">
        <v>-2.0811320403216191</v>
      </c>
    </row>
    <row r="13" spans="1:6" x14ac:dyDescent="0.55000000000000004">
      <c r="A13" s="35">
        <v>0.65326633165829151</v>
      </c>
      <c r="B13">
        <v>2.0795632295901894</v>
      </c>
      <c r="C13">
        <v>-2.0795632295901894</v>
      </c>
    </row>
    <row r="14" spans="1:6" x14ac:dyDescent="0.55000000000000004">
      <c r="A14" s="35">
        <v>0.71859296482412061</v>
      </c>
      <c r="B14">
        <v>2.0779018621160583</v>
      </c>
      <c r="C14">
        <v>-2.0779018621160583</v>
      </c>
    </row>
    <row r="15" spans="1:6" x14ac:dyDescent="0.55000000000000004">
      <c r="A15" s="35">
        <v>0.7839195979899497</v>
      </c>
      <c r="B15">
        <v>2.0761505740800086</v>
      </c>
      <c r="C15">
        <v>-2.0761505740800086</v>
      </c>
    </row>
    <row r="16" spans="1:6" x14ac:dyDescent="0.55000000000000004">
      <c r="A16" s="35">
        <v>0.84924623115577891</v>
      </c>
      <c r="B16">
        <v>2.0743115927012163</v>
      </c>
      <c r="C16">
        <v>-2.0743115927012163</v>
      </c>
    </row>
    <row r="17" spans="1:3" x14ac:dyDescent="0.55000000000000004">
      <c r="A17" s="35">
        <v>0.914572864321608</v>
      </c>
      <c r="B17">
        <v>2.0723868197045565</v>
      </c>
      <c r="C17">
        <v>-2.0723868197045565</v>
      </c>
    </row>
    <row r="18" spans="1:3" x14ac:dyDescent="0.55000000000000004">
      <c r="A18" s="35">
        <v>0.9798994974874371</v>
      </c>
      <c r="B18">
        <v>2.0703778930687911</v>
      </c>
      <c r="C18">
        <v>-2.0703778930687911</v>
      </c>
    </row>
    <row r="19" spans="1:3" x14ac:dyDescent="0.55000000000000004">
      <c r="A19" s="35">
        <v>1.0452261306532664</v>
      </c>
      <c r="B19">
        <v>2.0682862337799648</v>
      </c>
      <c r="C19">
        <v>-2.0682862337799648</v>
      </c>
    </row>
    <row r="20" spans="1:3" x14ac:dyDescent="0.55000000000000004">
      <c r="A20" s="35">
        <v>1.1105527638190955</v>
      </c>
      <c r="B20">
        <v>2.0661130819377727</v>
      </c>
      <c r="C20">
        <v>-2.0661130819377727</v>
      </c>
    </row>
    <row r="21" spans="1:3" x14ac:dyDescent="0.55000000000000004">
      <c r="A21">
        <v>1.1758793969849246</v>
      </c>
      <c r="B21">
        <v>2.0638595251183331</v>
      </c>
      <c r="C21">
        <v>-2.0638595251183331</v>
      </c>
    </row>
    <row r="22" spans="1:3" x14ac:dyDescent="0.55000000000000004">
      <c r="A22">
        <v>1.2412060301507537</v>
      </c>
      <c r="B22">
        <v>2.0615265209867202</v>
      </c>
      <c r="C22">
        <v>-2.0615265209867202</v>
      </c>
    </row>
    <row r="23" spans="1:3" x14ac:dyDescent="0.55000000000000004">
      <c r="A23">
        <v>1.306532663316583</v>
      </c>
      <c r="B23">
        <v>2.059114915561167</v>
      </c>
      <c r="C23">
        <v>-2.059114915561167</v>
      </c>
    </row>
    <row r="24" spans="1:3" x14ac:dyDescent="0.55000000000000004">
      <c r="A24">
        <v>1.3718592964824121</v>
      </c>
      <c r="B24">
        <v>2.0566254581359122</v>
      </c>
      <c r="C24">
        <v>-2.0566254581359122</v>
      </c>
    </row>
    <row r="25" spans="1:3" x14ac:dyDescent="0.55000000000000004">
      <c r="A25">
        <v>1.4371859296482412</v>
      </c>
      <c r="B25">
        <v>2.0540588135996205</v>
      </c>
      <c r="C25">
        <v>-2.0540588135996205</v>
      </c>
    </row>
    <row r="26" spans="1:3" x14ac:dyDescent="0.55000000000000004">
      <c r="A26">
        <v>1.5025125628140703</v>
      </c>
      <c r="B26">
        <v>2.0514155726977097</v>
      </c>
      <c r="C26">
        <v>-2.0514155726977097</v>
      </c>
    </row>
    <row r="27" spans="1:3" x14ac:dyDescent="0.55000000000000004">
      <c r="A27">
        <v>1.5678391959798994</v>
      </c>
      <c r="B27">
        <v>2.0486962606527355</v>
      </c>
      <c r="C27">
        <v>-2.0486962606527355</v>
      </c>
    </row>
    <row r="28" spans="1:3" x14ac:dyDescent="0.55000000000000004">
      <c r="A28">
        <v>1.6331658291457285</v>
      </c>
      <c r="B28">
        <v>2.0459013444598506</v>
      </c>
      <c r="C28">
        <v>-2.0459013444598506</v>
      </c>
    </row>
    <row r="29" spans="1:3" x14ac:dyDescent="0.55000000000000004">
      <c r="A29">
        <v>1.6984924623115578</v>
      </c>
      <c r="B29">
        <v>2.0430312391030037</v>
      </c>
      <c r="C29">
        <v>-2.0430312391030037</v>
      </c>
    </row>
    <row r="30" spans="1:3" x14ac:dyDescent="0.55000000000000004">
      <c r="A30">
        <v>1.7638190954773869</v>
      </c>
      <c r="B30">
        <v>2.0400863128843381</v>
      </c>
      <c r="C30">
        <v>-2.0400863128843381</v>
      </c>
    </row>
    <row r="31" spans="1:3" x14ac:dyDescent="0.55000000000000004">
      <c r="A31">
        <v>1.829145728643216</v>
      </c>
      <c r="B31">
        <v>2.0370668920191499</v>
      </c>
      <c r="C31">
        <v>-2.0370668920191499</v>
      </c>
    </row>
    <row r="32" spans="1:3" x14ac:dyDescent="0.55000000000000004">
      <c r="A32">
        <v>1.8944723618090451</v>
      </c>
      <c r="B32">
        <v>2.0339732646181159</v>
      </c>
      <c r="C32">
        <v>-2.0339732646181159</v>
      </c>
    </row>
    <row r="33" spans="1:3" x14ac:dyDescent="0.55000000000000004">
      <c r="A33">
        <v>1.9597989949748742</v>
      </c>
      <c r="B33">
        <v>2.0308056841548643</v>
      </c>
      <c r="C33">
        <v>-2.0308056841548643</v>
      </c>
    </row>
    <row r="34" spans="1:3" x14ac:dyDescent="0.55000000000000004">
      <c r="A34">
        <v>2.0251256281407035</v>
      </c>
      <c r="B34">
        <v>2.0275643724985568</v>
      </c>
      <c r="C34">
        <v>-2.0275643724985568</v>
      </c>
    </row>
    <row r="35" spans="1:3" x14ac:dyDescent="0.55000000000000004">
      <c r="A35">
        <v>2.0904522613065328</v>
      </c>
      <c r="B35">
        <v>2.0242495225766559</v>
      </c>
      <c r="C35">
        <v>-2.0242495225766559</v>
      </c>
    </row>
    <row r="36" spans="1:3" x14ac:dyDescent="0.55000000000000004">
      <c r="A36">
        <v>2.1557788944723617</v>
      </c>
      <c r="B36">
        <v>2.0208613007215765</v>
      </c>
      <c r="C36">
        <v>-2.0208613007215765</v>
      </c>
    </row>
    <row r="37" spans="1:3" x14ac:dyDescent="0.55000000000000004">
      <c r="A37">
        <v>2.221105527638191</v>
      </c>
      <c r="B37">
        <v>2.0173998487457365</v>
      </c>
      <c r="C37">
        <v>-2.0173998487457365</v>
      </c>
    </row>
    <row r="38" spans="1:3" x14ac:dyDescent="0.55000000000000004">
      <c r="A38">
        <v>2.2864321608040203</v>
      </c>
      <c r="B38">
        <v>2.0138652857821393</v>
      </c>
      <c r="C38">
        <v>-2.0138652857821393</v>
      </c>
    </row>
    <row r="39" spans="1:3" x14ac:dyDescent="0.55000000000000004">
      <c r="A39">
        <v>2.3517587939698492</v>
      </c>
      <c r="B39">
        <v>2.0102577099216203</v>
      </c>
      <c r="C39">
        <v>-2.0102577099216203</v>
      </c>
    </row>
    <row r="40" spans="1:3" x14ac:dyDescent="0.55000000000000004">
      <c r="A40">
        <v>2.4170854271356785</v>
      </c>
      <c r="B40">
        <v>2.0065771996730075</v>
      </c>
      <c r="C40">
        <v>-2.0065771996730075</v>
      </c>
    </row>
    <row r="41" spans="1:3" x14ac:dyDescent="0.55000000000000004">
      <c r="A41">
        <v>2.4824120603015074</v>
      </c>
      <c r="B41">
        <v>2.002823815268437</v>
      </c>
      <c r="C41">
        <v>-2.002823815268437</v>
      </c>
    </row>
    <row r="42" spans="1:3" x14ac:dyDescent="0.55000000000000004">
      <c r="A42">
        <v>2.5477386934673367</v>
      </c>
      <c r="B42">
        <v>1.9989975998327403</v>
      </c>
      <c r="C42">
        <v>-1.9989975998327403</v>
      </c>
    </row>
    <row r="43" spans="1:3" x14ac:dyDescent="0.55000000000000004">
      <c r="A43">
        <v>2.613065326633166</v>
      </c>
      <c r="B43">
        <v>1.9950985804330854</v>
      </c>
      <c r="C43">
        <v>-1.9950985804330854</v>
      </c>
    </row>
    <row r="44" spans="1:3" x14ac:dyDescent="0.55000000000000004">
      <c r="A44">
        <v>2.6783919597989949</v>
      </c>
      <c r="B44">
        <v>1.991126769022745</v>
      </c>
      <c r="C44">
        <v>-1.991126769022745</v>
      </c>
    </row>
    <row r="45" spans="1:3" x14ac:dyDescent="0.55000000000000004">
      <c r="A45">
        <v>2.7437185929648242</v>
      </c>
      <c r="B45">
        <v>1.9870821632909537</v>
      </c>
      <c r="C45">
        <v>-1.9870821632909537</v>
      </c>
    </row>
    <row r="46" spans="1:3" x14ac:dyDescent="0.55000000000000004">
      <c r="A46">
        <v>2.8090452261306531</v>
      </c>
      <c r="B46">
        <v>1.9829647474291914</v>
      </c>
      <c r="C46">
        <v>-1.9829647474291914</v>
      </c>
    </row>
    <row r="47" spans="1:3" x14ac:dyDescent="0.55000000000000004">
      <c r="A47">
        <v>2.8743718592964824</v>
      </c>
      <c r="B47">
        <v>1.9787744928228603</v>
      </c>
      <c r="C47">
        <v>-1.9787744928228603</v>
      </c>
    </row>
    <row r="48" spans="1:3" x14ac:dyDescent="0.55000000000000004">
      <c r="A48">
        <v>2.9396984924623117</v>
      </c>
      <c r="B48">
        <v>1.9745113586761607</v>
      </c>
      <c r="C48">
        <v>-1.9745113586761607</v>
      </c>
    </row>
    <row r="49" spans="1:3" x14ac:dyDescent="0.55000000000000004">
      <c r="A49">
        <v>3.0050251256281406</v>
      </c>
      <c r="B49">
        <v>1.9701752925769789</v>
      </c>
      <c r="C49">
        <v>-1.9701752925769789</v>
      </c>
    </row>
    <row r="50" spans="1:3" x14ac:dyDescent="0.55000000000000004">
      <c r="A50">
        <v>3.0703517587939699</v>
      </c>
      <c r="B50">
        <v>1.9657662310077544</v>
      </c>
      <c r="C50">
        <v>-1.9657662310077544</v>
      </c>
    </row>
    <row r="51" spans="1:3" x14ac:dyDescent="0.55000000000000004">
      <c r="A51">
        <v>3.1356783919597988</v>
      </c>
      <c r="B51">
        <v>1.961284099807554</v>
      </c>
      <c r="C51">
        <v>-1.961284099807554</v>
      </c>
    </row>
    <row r="52" spans="1:3" x14ac:dyDescent="0.55000000000000004">
      <c r="A52">
        <v>3.2010050251256281</v>
      </c>
      <c r="B52">
        <v>1.9567288145899686</v>
      </c>
      <c r="C52">
        <v>-1.9567288145899686</v>
      </c>
    </row>
    <row r="53" spans="1:3" x14ac:dyDescent="0.55000000000000004">
      <c r="A53">
        <v>3.266331658291457</v>
      </c>
      <c r="B53">
        <v>1.9521002811208865</v>
      </c>
      <c r="C53">
        <v>-1.9521002811208865</v>
      </c>
    </row>
    <row r="54" spans="1:3" x14ac:dyDescent="0.55000000000000004">
      <c r="A54">
        <v>3.3316582914572863</v>
      </c>
      <c r="B54">
        <v>1.9473983956597405</v>
      </c>
      <c r="C54">
        <v>-1.9473983956597405</v>
      </c>
    </row>
    <row r="55" spans="1:3" x14ac:dyDescent="0.55000000000000004">
      <c r="A55">
        <v>3.3969849246231156</v>
      </c>
      <c r="B55">
        <v>1.9426230452674065</v>
      </c>
      <c r="C55">
        <v>-1.9426230452674065</v>
      </c>
    </row>
    <row r="56" spans="1:3" x14ac:dyDescent="0.55000000000000004">
      <c r="A56">
        <v>3.4623115577889445</v>
      </c>
      <c r="B56">
        <v>1.9377741080835753</v>
      </c>
      <c r="C56">
        <v>-1.9377741080835753</v>
      </c>
    </row>
    <row r="57" spans="1:3" x14ac:dyDescent="0.55000000000000004">
      <c r="A57">
        <v>3.5276381909547738</v>
      </c>
      <c r="B57">
        <v>1.9328514535761077</v>
      </c>
      <c r="C57">
        <v>-1.9328514535761077</v>
      </c>
    </row>
    <row r="58" spans="1:3" x14ac:dyDescent="0.55000000000000004">
      <c r="A58">
        <v>3.5929648241206027</v>
      </c>
      <c r="B58">
        <v>1.9278549427646015</v>
      </c>
      <c r="C58">
        <v>-1.9278549427646015</v>
      </c>
    </row>
    <row r="59" spans="1:3" x14ac:dyDescent="0.55000000000000004">
      <c r="A59">
        <v>3.658291457286432</v>
      </c>
      <c r="B59">
        <v>1.9227844284201667</v>
      </c>
      <c r="C59">
        <v>-1.9227844284201667</v>
      </c>
    </row>
    <row r="60" spans="1:3" x14ac:dyDescent="0.55000000000000004">
      <c r="A60">
        <v>3.7236180904522618</v>
      </c>
      <c r="B60">
        <v>1.9176397552431768</v>
      </c>
      <c r="C60">
        <v>-1.9176397552431768</v>
      </c>
    </row>
    <row r="61" spans="1:3" x14ac:dyDescent="0.55000000000000004">
      <c r="A61">
        <v>3.7889447236180902</v>
      </c>
      <c r="B61">
        <v>1.9124207600205896</v>
      </c>
      <c r="C61">
        <v>-1.9124207600205896</v>
      </c>
    </row>
    <row r="62" spans="1:3" x14ac:dyDescent="0.55000000000000004">
      <c r="A62">
        <v>3.8542713567839195</v>
      </c>
      <c r="B62">
        <v>1.9071272717642476</v>
      </c>
      <c r="C62">
        <v>-1.9071272717642476</v>
      </c>
    </row>
    <row r="63" spans="1:3" x14ac:dyDescent="0.55000000000000004">
      <c r="A63">
        <v>3.9195979899497484</v>
      </c>
      <c r="B63">
        <v>1.9017591118314334</v>
      </c>
      <c r="C63">
        <v>-1.9017591118314334</v>
      </c>
    </row>
    <row r="64" spans="1:3" x14ac:dyDescent="0.55000000000000004">
      <c r="A64">
        <v>3.9849246231155777</v>
      </c>
      <c r="B64">
        <v>1.8963160940288062</v>
      </c>
      <c r="C64">
        <v>-1.8963160940288062</v>
      </c>
    </row>
    <row r="65" spans="1:3" x14ac:dyDescent="0.55000000000000004">
      <c r="A65">
        <v>4.050251256281407</v>
      </c>
      <c r="B65">
        <v>1.8907980247007368</v>
      </c>
      <c r="C65">
        <v>-1.8907980247007368</v>
      </c>
    </row>
    <row r="66" spans="1:3" x14ac:dyDescent="0.55000000000000004">
      <c r="A66">
        <v>4.1155778894472359</v>
      </c>
      <c r="B66">
        <v>1.8852047028029495</v>
      </c>
      <c r="C66">
        <v>-1.8852047028029495</v>
      </c>
    </row>
    <row r="67" spans="1:3" x14ac:dyDescent="0.55000000000000004">
      <c r="A67">
        <v>4.1809045226130657</v>
      </c>
      <c r="B67">
        <v>1.8795359199622743</v>
      </c>
      <c r="C67">
        <v>-1.8795359199622743</v>
      </c>
    </row>
    <row r="68" spans="1:3" x14ac:dyDescent="0.55000000000000004">
      <c r="A68">
        <v>4.2462311557788945</v>
      </c>
      <c r="B68">
        <v>1.8737914605232378</v>
      </c>
      <c r="C68">
        <v>-1.8737914605232378</v>
      </c>
    </row>
    <row r="69" spans="1:3" x14ac:dyDescent="0.55000000000000004">
      <c r="A69">
        <v>4.3115577889447234</v>
      </c>
      <c r="B69">
        <v>1.8679711015821292</v>
      </c>
      <c r="C69">
        <v>-1.8679711015821292</v>
      </c>
    </row>
    <row r="70" spans="1:3" x14ac:dyDescent="0.55000000000000004">
      <c r="A70">
        <v>4.3768844221105532</v>
      </c>
      <c r="B70">
        <v>1.8620746130091173</v>
      </c>
      <c r="C70">
        <v>-1.8620746130091173</v>
      </c>
    </row>
    <row r="71" spans="1:3" x14ac:dyDescent="0.55000000000000004">
      <c r="A71">
        <v>4.442211055276382</v>
      </c>
      <c r="B71">
        <v>1.8561017574589205</v>
      </c>
      <c r="C71">
        <v>-1.8561017574589205</v>
      </c>
    </row>
    <row r="72" spans="1:3" x14ac:dyDescent="0.55000000000000004">
      <c r="A72">
        <v>4.5075376884422109</v>
      </c>
      <c r="B72">
        <v>1.8500522903704777</v>
      </c>
      <c r="C72">
        <v>-1.8500522903704777</v>
      </c>
    </row>
    <row r="73" spans="1:3" x14ac:dyDescent="0.55000000000000004">
      <c r="A73">
        <v>4.5728643216080407</v>
      </c>
      <c r="B73">
        <v>1.8439259599560054</v>
      </c>
      <c r="C73">
        <v>-1.8439259599560054</v>
      </c>
    </row>
    <row r="74" spans="1:3" x14ac:dyDescent="0.55000000000000004">
      <c r="A74">
        <v>4.6381909547738696</v>
      </c>
      <c r="B74">
        <v>1.8377225071797858</v>
      </c>
      <c r="C74">
        <v>-1.8377225071797858</v>
      </c>
    </row>
    <row r="75" spans="1:3" x14ac:dyDescent="0.55000000000000004">
      <c r="A75">
        <v>4.7035175879396984</v>
      </c>
      <c r="B75">
        <v>1.8314416657269741</v>
      </c>
      <c r="C75">
        <v>-1.8314416657269741</v>
      </c>
    </row>
    <row r="76" spans="1:3" x14ac:dyDescent="0.55000000000000004">
      <c r="A76">
        <v>4.7688442211055273</v>
      </c>
      <c r="B76">
        <v>1.8250831619626762</v>
      </c>
      <c r="C76">
        <v>-1.8250831619626762</v>
      </c>
    </row>
    <row r="77" spans="1:3" x14ac:dyDescent="0.55000000000000004">
      <c r="A77">
        <v>4.8341708542713571</v>
      </c>
      <c r="B77">
        <v>1.8186467148815031</v>
      </c>
      <c r="C77">
        <v>-1.8186467148815031</v>
      </c>
    </row>
    <row r="78" spans="1:3" x14ac:dyDescent="0.55000000000000004">
      <c r="A78">
        <v>4.8994974874371859</v>
      </c>
      <c r="B78">
        <v>1.8121320360477711</v>
      </c>
      <c r="C78">
        <v>-1.8121320360477711</v>
      </c>
    </row>
    <row r="79" spans="1:3" x14ac:dyDescent="0.55000000000000004">
      <c r="A79">
        <v>4.9648241206030148</v>
      </c>
      <c r="B79">
        <v>1.8055388295264845</v>
      </c>
      <c r="C79">
        <v>-1.8055388295264845</v>
      </c>
    </row>
    <row r="80" spans="1:3" x14ac:dyDescent="0.55000000000000004">
      <c r="A80">
        <v>5.0301507537688446</v>
      </c>
      <c r="B80">
        <v>1.7988667918051966</v>
      </c>
      <c r="C80">
        <v>-1.7988667918051966</v>
      </c>
    </row>
    <row r="81" spans="1:3" x14ac:dyDescent="0.55000000000000004">
      <c r="A81">
        <v>5.0954773869346734</v>
      </c>
      <c r="B81">
        <v>1.7921156117068171</v>
      </c>
      <c r="C81">
        <v>-1.7921156117068171</v>
      </c>
    </row>
    <row r="82" spans="1:3" x14ac:dyDescent="0.55000000000000004">
      <c r="A82">
        <v>5.1608040201005023</v>
      </c>
      <c r="B82">
        <v>1.7852849702934033</v>
      </c>
      <c r="C82">
        <v>-1.7852849702934033</v>
      </c>
    </row>
    <row r="83" spans="1:3" x14ac:dyDescent="0.55000000000000004">
      <c r="A83">
        <v>5.2261306532663321</v>
      </c>
      <c r="B83">
        <v>1.7783745407609362</v>
      </c>
      <c r="C83">
        <v>-1.7783745407609362</v>
      </c>
    </row>
    <row r="84" spans="1:3" x14ac:dyDescent="0.55000000000000004">
      <c r="A84">
        <v>5.291457286432161</v>
      </c>
      <c r="B84">
        <v>1.7713839883250659</v>
      </c>
      <c r="C84">
        <v>-1.7713839883250659</v>
      </c>
    </row>
    <row r="85" spans="1:3" x14ac:dyDescent="0.55000000000000004">
      <c r="A85">
        <v>5.3567839195979898</v>
      </c>
      <c r="B85">
        <v>1.764312970097764</v>
      </c>
      <c r="C85">
        <v>-1.764312970097764</v>
      </c>
    </row>
    <row r="86" spans="1:3" x14ac:dyDescent="0.55000000000000004">
      <c r="A86">
        <v>5.4221105527638187</v>
      </c>
      <c r="B86">
        <v>1.7571611349548104</v>
      </c>
      <c r="C86">
        <v>-1.7571611349548104</v>
      </c>
    </row>
    <row r="87" spans="1:3" x14ac:dyDescent="0.55000000000000004">
      <c r="A87">
        <v>5.4874371859296485</v>
      </c>
      <c r="B87">
        <v>1.7499281233940061</v>
      </c>
      <c r="C87">
        <v>-1.7499281233940061</v>
      </c>
    </row>
    <row r="88" spans="1:3" x14ac:dyDescent="0.55000000000000004">
      <c r="A88">
        <v>5.5527638190954773</v>
      </c>
      <c r="B88">
        <v>1.7426135673839747</v>
      </c>
      <c r="C88">
        <v>-1.7426135673839747</v>
      </c>
    </row>
    <row r="89" spans="1:3" x14ac:dyDescent="0.55000000000000004">
      <c r="A89">
        <v>5.6180904522613062</v>
      </c>
      <c r="B89">
        <v>1.7352170902033894</v>
      </c>
      <c r="C89">
        <v>-1.7352170902033894</v>
      </c>
    </row>
    <row r="90" spans="1:3" x14ac:dyDescent="0.55000000000000004">
      <c r="A90">
        <v>5.683417085427136</v>
      </c>
      <c r="B90">
        <v>1.7277383062704414</v>
      </c>
      <c r="C90">
        <v>-1.7277383062704414</v>
      </c>
    </row>
    <row r="91" spans="1:3" x14ac:dyDescent="0.55000000000000004">
      <c r="A91">
        <v>5.7487437185929648</v>
      </c>
      <c r="B91">
        <v>1.7201768209623263</v>
      </c>
      <c r="C91">
        <v>-1.7201768209623263</v>
      </c>
    </row>
    <row r="92" spans="1:3" x14ac:dyDescent="0.55000000000000004">
      <c r="A92">
        <v>5.8140703517587937</v>
      </c>
      <c r="B92">
        <v>1.7125322304245043</v>
      </c>
      <c r="C92">
        <v>-1.7125322304245043</v>
      </c>
    </row>
    <row r="93" spans="1:3" x14ac:dyDescent="0.55000000000000004">
      <c r="A93">
        <v>5.8793969849246235</v>
      </c>
      <c r="B93">
        <v>1.7048041213694598</v>
      </c>
      <c r="C93">
        <v>-1.7048041213694598</v>
      </c>
    </row>
    <row r="94" spans="1:3" x14ac:dyDescent="0.55000000000000004">
      <c r="A94">
        <v>5.9447236180904524</v>
      </c>
      <c r="B94">
        <v>1.6969920708646582</v>
      </c>
      <c r="C94">
        <v>-1.6969920708646582</v>
      </c>
    </row>
    <row r="95" spans="1:3" x14ac:dyDescent="0.55000000000000004">
      <c r="A95">
        <v>6.0100502512562812</v>
      </c>
      <c r="B95">
        <v>1.6890956461093596</v>
      </c>
      <c r="C95">
        <v>-1.6890956461093596</v>
      </c>
    </row>
    <row r="96" spans="1:3" x14ac:dyDescent="0.55000000000000004">
      <c r="A96">
        <v>6.075376884422111</v>
      </c>
      <c r="B96">
        <v>1.6811144041999273</v>
      </c>
      <c r="C96">
        <v>-1.6811144041999273</v>
      </c>
    </row>
    <row r="97" spans="1:3" x14ac:dyDescent="0.55000000000000004">
      <c r="A97">
        <v>6.1407035175879399</v>
      </c>
      <c r="B97">
        <v>1.673047891883233</v>
      </c>
      <c r="C97">
        <v>-1.673047891883233</v>
      </c>
    </row>
    <row r="98" spans="1:3" x14ac:dyDescent="0.55000000000000004">
      <c r="A98">
        <v>6.2060301507537687</v>
      </c>
      <c r="B98">
        <v>1.6648956452977182</v>
      </c>
      <c r="C98">
        <v>-1.6648956452977182</v>
      </c>
    </row>
    <row r="99" spans="1:3" x14ac:dyDescent="0.55000000000000004">
      <c r="A99">
        <v>6.2713567839195976</v>
      </c>
      <c r="B99">
        <v>1.6566571897016504</v>
      </c>
      <c r="C99">
        <v>-1.6566571897016504</v>
      </c>
    </row>
    <row r="100" spans="1:3" x14ac:dyDescent="0.55000000000000004">
      <c r="A100">
        <v>6.3366834170854274</v>
      </c>
      <c r="B100">
        <v>1.6483320391880638</v>
      </c>
      <c r="C100">
        <v>-1.6483320391880638</v>
      </c>
    </row>
    <row r="101" spans="1:3" x14ac:dyDescent="0.55000000000000004">
      <c r="A101">
        <v>6.4020100502512562</v>
      </c>
      <c r="B101">
        <v>1.6399196963858351</v>
      </c>
      <c r="C101">
        <v>-1.6399196963858351</v>
      </c>
    </row>
    <row r="102" spans="1:3" x14ac:dyDescent="0.55000000000000004">
      <c r="A102">
        <v>6.4673366834170851</v>
      </c>
      <c r="B102">
        <v>1.6314196521463107</v>
      </c>
      <c r="C102">
        <v>-1.6314196521463107</v>
      </c>
    </row>
    <row r="103" spans="1:3" x14ac:dyDescent="0.55000000000000004">
      <c r="A103">
        <v>6.532663316582914</v>
      </c>
      <c r="B103">
        <v>1.6228313852148508</v>
      </c>
      <c r="C103">
        <v>-1.6228313852148508</v>
      </c>
    </row>
    <row r="104" spans="1:3" x14ac:dyDescent="0.55000000000000004">
      <c r="A104">
        <v>6.5979899497487438</v>
      </c>
      <c r="B104">
        <v>1.6141543618866094</v>
      </c>
      <c r="C104">
        <v>-1.6141543618866094</v>
      </c>
    </row>
    <row r="105" spans="1:3" x14ac:dyDescent="0.55000000000000004">
      <c r="A105">
        <v>6.6633165829145726</v>
      </c>
      <c r="B105">
        <v>1.6053880356458239</v>
      </c>
      <c r="C105">
        <v>-1.6053880356458239</v>
      </c>
    </row>
    <row r="106" spans="1:3" x14ac:dyDescent="0.55000000000000004">
      <c r="A106">
        <v>6.7286432160804024</v>
      </c>
      <c r="B106">
        <v>1.5965318467878273</v>
      </c>
      <c r="C106">
        <v>-1.5965318467878273</v>
      </c>
    </row>
    <row r="107" spans="1:3" x14ac:dyDescent="0.55000000000000004">
      <c r="A107">
        <v>6.7939698492462313</v>
      </c>
      <c r="B107">
        <v>1.5875852220229503</v>
      </c>
      <c r="C107">
        <v>-1.5875852220229503</v>
      </c>
    </row>
    <row r="108" spans="1:3" x14ac:dyDescent="0.55000000000000004">
      <c r="A108">
        <v>6.8592964824120592</v>
      </c>
      <c r="B108">
        <v>1.5785475740614074</v>
      </c>
      <c r="C108">
        <v>-1.5785475740614074</v>
      </c>
    </row>
    <row r="109" spans="1:3" x14ac:dyDescent="0.55000000000000004">
      <c r="A109">
        <v>6.924623115577889</v>
      </c>
      <c r="B109">
        <v>1.5694183011782046</v>
      </c>
      <c r="C109">
        <v>-1.5694183011782046</v>
      </c>
    </row>
    <row r="110" spans="1:3" x14ac:dyDescent="0.55000000000000004">
      <c r="A110">
        <v>6.9899497487437188</v>
      </c>
      <c r="B110">
        <v>1.560196786757039</v>
      </c>
      <c r="C110">
        <v>-1.560196786757039</v>
      </c>
    </row>
    <row r="111" spans="1:3" x14ac:dyDescent="0.55000000000000004">
      <c r="A111">
        <v>7.0552763819095476</v>
      </c>
      <c r="B111">
        <v>1.5508823988120735</v>
      </c>
      <c r="C111">
        <v>-1.5508823988120735</v>
      </c>
    </row>
    <row r="112" spans="1:3" x14ac:dyDescent="0.55000000000000004">
      <c r="A112">
        <v>7.1206030150753774</v>
      </c>
      <c r="B112">
        <v>1.541474489486407</v>
      </c>
      <c r="C112">
        <v>-1.541474489486407</v>
      </c>
    </row>
    <row r="113" spans="1:3" x14ac:dyDescent="0.55000000000000004">
      <c r="A113">
        <v>7.1859296482412054</v>
      </c>
      <c r="B113">
        <v>1.5319723945259576</v>
      </c>
      <c r="C113">
        <v>-1.5319723945259576</v>
      </c>
    </row>
    <row r="114" spans="1:3" x14ac:dyDescent="0.55000000000000004">
      <c r="A114">
        <v>7.2512562814070352</v>
      </c>
      <c r="B114">
        <v>1.5223754327273962</v>
      </c>
      <c r="C114">
        <v>-1.5223754327273962</v>
      </c>
    </row>
    <row r="115" spans="1:3" x14ac:dyDescent="0.55000000000000004">
      <c r="A115">
        <v>7.316582914572864</v>
      </c>
      <c r="B115">
        <v>1.5126829053586599</v>
      </c>
      <c r="C115">
        <v>-1.5126829053586599</v>
      </c>
    </row>
    <row r="116" spans="1:3" x14ac:dyDescent="0.55000000000000004">
      <c r="A116">
        <v>7.3819095477386938</v>
      </c>
      <c r="B116">
        <v>1.5028940955504675</v>
      </c>
      <c r="C116">
        <v>-1.5028940955504675</v>
      </c>
    </row>
    <row r="117" spans="1:3" x14ac:dyDescent="0.55000000000000004">
      <c r="A117">
        <v>7.4472361809045236</v>
      </c>
      <c r="B117">
        <v>1.493008267657147</v>
      </c>
      <c r="C117">
        <v>-1.493008267657147</v>
      </c>
    </row>
    <row r="118" spans="1:3" x14ac:dyDescent="0.55000000000000004">
      <c r="A118">
        <v>7.5125628140703515</v>
      </c>
      <c r="B118">
        <v>1.48302466658495</v>
      </c>
      <c r="C118">
        <v>-1.48302466658495</v>
      </c>
    </row>
    <row r="119" spans="1:3" x14ac:dyDescent="0.55000000000000004">
      <c r="A119">
        <v>7.5778894472361804</v>
      </c>
      <c r="B119">
        <v>1.4729425170858921</v>
      </c>
      <c r="C119">
        <v>-1.4729425170858921</v>
      </c>
    </row>
    <row r="120" spans="1:3" x14ac:dyDescent="0.55000000000000004">
      <c r="A120">
        <v>7.6432160804020102</v>
      </c>
      <c r="B120">
        <v>1.4627610230150208</v>
      </c>
      <c r="C120">
        <v>-1.4627610230150208</v>
      </c>
    </row>
    <row r="121" spans="1:3" x14ac:dyDescent="0.55000000000000004">
      <c r="A121">
        <v>7.708542713567839</v>
      </c>
      <c r="B121">
        <v>1.452479366548828</v>
      </c>
      <c r="C121">
        <v>-1.452479366548828</v>
      </c>
    </row>
    <row r="122" spans="1:3" x14ac:dyDescent="0.55000000000000004">
      <c r="A122">
        <v>7.7738693467336688</v>
      </c>
      <c r="B122">
        <v>1.4420967073623663</v>
      </c>
      <c r="C122">
        <v>-1.4420967073623663</v>
      </c>
    </row>
    <row r="123" spans="1:3" x14ac:dyDescent="0.55000000000000004">
      <c r="A123">
        <v>7.8391959798994968</v>
      </c>
      <c r="B123">
        <v>1.4316121817624254</v>
      </c>
      <c r="C123">
        <v>-1.4316121817624254</v>
      </c>
    </row>
    <row r="124" spans="1:3" x14ac:dyDescent="0.55000000000000004">
      <c r="A124">
        <v>7.9045226130653266</v>
      </c>
      <c r="B124">
        <v>1.4210249017739207</v>
      </c>
      <c r="C124">
        <v>-1.4210249017739207</v>
      </c>
    </row>
    <row r="125" spans="1:3" x14ac:dyDescent="0.55000000000000004">
      <c r="A125">
        <v>7.9698492462311554</v>
      </c>
      <c r="B125">
        <v>1.4103339541764095</v>
      </c>
      <c r="C125">
        <v>-1.4103339541764095</v>
      </c>
    </row>
    <row r="126" spans="1:3" x14ac:dyDescent="0.55000000000000004">
      <c r="A126">
        <v>8.0351758793969843</v>
      </c>
      <c r="B126">
        <v>1.3995383994874082</v>
      </c>
      <c r="C126">
        <v>-1.3995383994874082</v>
      </c>
    </row>
    <row r="127" spans="1:3" x14ac:dyDescent="0.55000000000000004">
      <c r="A127">
        <v>8.1005025125628141</v>
      </c>
      <c r="B127">
        <v>1.3886372708889017</v>
      </c>
      <c r="C127">
        <v>-1.3886372708889017</v>
      </c>
    </row>
    <row r="128" spans="1:3" x14ac:dyDescent="0.55000000000000004">
      <c r="A128">
        <v>8.1658291457286438</v>
      </c>
      <c r="B128">
        <v>1.3776295730931387</v>
      </c>
      <c r="C128">
        <v>-1.3776295730931387</v>
      </c>
    </row>
    <row r="129" spans="1:3" x14ac:dyDescent="0.55000000000000004">
      <c r="A129">
        <v>8.2311557788944718</v>
      </c>
      <c r="B129">
        <v>1.3665142811434787</v>
      </c>
      <c r="C129">
        <v>-1.3665142811434787</v>
      </c>
    </row>
    <row r="130" spans="1:3" x14ac:dyDescent="0.55000000000000004">
      <c r="A130">
        <v>8.2964824120603016</v>
      </c>
      <c r="B130">
        <v>1.3552903391456861</v>
      </c>
      <c r="C130">
        <v>-1.3552903391456861</v>
      </c>
    </row>
    <row r="131" spans="1:3" x14ac:dyDescent="0.55000000000000004">
      <c r="A131">
        <v>8.3618090452261313</v>
      </c>
      <c r="B131">
        <v>1.3439566589246785</v>
      </c>
      <c r="C131">
        <v>-1.3439566589246785</v>
      </c>
    </row>
    <row r="132" spans="1:3" x14ac:dyDescent="0.55000000000000004">
      <c r="A132">
        <v>8.4271356783919593</v>
      </c>
      <c r="B132">
        <v>1.332512118601288</v>
      </c>
      <c r="C132">
        <v>-1.332512118601288</v>
      </c>
    </row>
    <row r="133" spans="1:3" x14ac:dyDescent="0.55000000000000004">
      <c r="A133">
        <v>8.4924623115577891</v>
      </c>
      <c r="B133">
        <v>1.3209555610831103</v>
      </c>
      <c r="C133">
        <v>-1.3209555610831103</v>
      </c>
    </row>
    <row r="134" spans="1:3" x14ac:dyDescent="0.55000000000000004">
      <c r="A134">
        <v>8.5577889447236171</v>
      </c>
      <c r="B134">
        <v>1.3092857924629868</v>
      </c>
      <c r="C134">
        <v>-1.3092857924629868</v>
      </c>
    </row>
    <row r="135" spans="1:3" x14ac:dyDescent="0.55000000000000004">
      <c r="A135">
        <v>8.6231155778894468</v>
      </c>
      <c r="B135">
        <v>1.2975015803180685</v>
      </c>
      <c r="C135">
        <v>-1.2975015803180685</v>
      </c>
    </row>
    <row r="136" spans="1:3" x14ac:dyDescent="0.55000000000000004">
      <c r="A136">
        <v>8.6884422110552766</v>
      </c>
      <c r="B136">
        <v>1.2856016519017517</v>
      </c>
      <c r="C136">
        <v>-1.2856016519017517</v>
      </c>
    </row>
    <row r="137" spans="1:3" x14ac:dyDescent="0.55000000000000004">
      <c r="A137">
        <v>8.7537688442211063</v>
      </c>
      <c r="B137">
        <v>1.2735846922200482</v>
      </c>
      <c r="C137">
        <v>-1.2735846922200482</v>
      </c>
    </row>
    <row r="138" spans="1:3" x14ac:dyDescent="0.55000000000000004">
      <c r="A138">
        <v>8.8190954773869361</v>
      </c>
      <c r="B138">
        <v>1.2614493419831549</v>
      </c>
      <c r="C138">
        <v>-1.2614493419831549</v>
      </c>
    </row>
    <row r="139" spans="1:3" x14ac:dyDescent="0.55000000000000004">
      <c r="A139">
        <v>8.8844221105527641</v>
      </c>
      <c r="B139">
        <v>1.2491941954220644</v>
      </c>
      <c r="C139">
        <v>-1.2491941954220644</v>
      </c>
    </row>
    <row r="140" spans="1:3" x14ac:dyDescent="0.55000000000000004">
      <c r="A140">
        <v>8.9497487437185921</v>
      </c>
      <c r="B140">
        <v>1.2368177979590793</v>
      </c>
      <c r="C140">
        <v>-1.2368177979590793</v>
      </c>
    </row>
    <row r="141" spans="1:3" x14ac:dyDescent="0.55000000000000004">
      <c r="A141">
        <v>9.0150753768844218</v>
      </c>
      <c r="B141">
        <v>1.2243186437199529</v>
      </c>
      <c r="C141">
        <v>-1.2243186437199529</v>
      </c>
    </row>
    <row r="142" spans="1:3" x14ac:dyDescent="0.55000000000000004">
      <c r="A142">
        <v>9.0804020100502516</v>
      </c>
      <c r="B142">
        <v>1.2116951728741399</v>
      </c>
      <c r="C142">
        <v>-1.2116951728741399</v>
      </c>
    </row>
    <row r="143" spans="1:3" x14ac:dyDescent="0.55000000000000004">
      <c r="A143">
        <v>9.1457286432160814</v>
      </c>
      <c r="B143">
        <v>1.1989457687882215</v>
      </c>
      <c r="C143">
        <v>-1.1989457687882215</v>
      </c>
    </row>
    <row r="144" spans="1:3" x14ac:dyDescent="0.55000000000000004">
      <c r="A144">
        <v>9.2110552763819094</v>
      </c>
      <c r="B144">
        <v>1.1860687549760067</v>
      </c>
      <c r="C144">
        <v>-1.1860687549760067</v>
      </c>
    </row>
    <row r="145" spans="1:3" x14ac:dyDescent="0.55000000000000004">
      <c r="A145">
        <v>9.2763819095477391</v>
      </c>
      <c r="B145">
        <v>1.1730623918270258</v>
      </c>
      <c r="C145">
        <v>-1.1730623918270258</v>
      </c>
    </row>
    <row r="146" spans="1:3" x14ac:dyDescent="0.55000000000000004">
      <c r="A146">
        <v>9.3417085427135671</v>
      </c>
      <c r="B146">
        <v>1.1599248730931435</v>
      </c>
      <c r="C146">
        <v>-1.1599248730931435</v>
      </c>
    </row>
    <row r="147" spans="1:3" x14ac:dyDescent="0.55000000000000004">
      <c r="A147">
        <v>9.4070351758793969</v>
      </c>
      <c r="B147">
        <v>1.146654322110751</v>
      </c>
      <c r="C147">
        <v>-1.146654322110751</v>
      </c>
    </row>
    <row r="148" spans="1:3" x14ac:dyDescent="0.55000000000000004">
      <c r="A148">
        <v>9.4723618090452266</v>
      </c>
      <c r="B148">
        <v>1.1332487877334543</v>
      </c>
      <c r="C148">
        <v>-1.1332487877334543</v>
      </c>
    </row>
    <row r="149" spans="1:3" x14ac:dyDescent="0.55000000000000004">
      <c r="A149">
        <v>9.5376884422110546</v>
      </c>
      <c r="B149">
        <v>1.1197062399472646</v>
      </c>
      <c r="C149">
        <v>-1.1197062399472646</v>
      </c>
    </row>
    <row r="150" spans="1:3" x14ac:dyDescent="0.55000000000000004">
      <c r="A150">
        <v>9.6030150753768844</v>
      </c>
      <c r="B150">
        <v>1.1060245651370189</v>
      </c>
      <c r="C150">
        <v>-1.1060245651370189</v>
      </c>
    </row>
    <row r="151" spans="1:3" x14ac:dyDescent="0.55000000000000004">
      <c r="A151">
        <v>9.6683417085427141</v>
      </c>
      <c r="B151">
        <v>1.0922015609689975</v>
      </c>
      <c r="C151">
        <v>-1.0922015609689975</v>
      </c>
    </row>
    <row r="152" spans="1:3" x14ac:dyDescent="0.55000000000000004">
      <c r="A152">
        <v>9.7336683417085439</v>
      </c>
      <c r="B152">
        <v>1.0782349308504264</v>
      </c>
      <c r="C152">
        <v>-1.0782349308504264</v>
      </c>
    </row>
    <row r="153" spans="1:3" x14ac:dyDescent="0.55000000000000004">
      <c r="A153">
        <v>9.7989949748743719</v>
      </c>
      <c r="B153">
        <v>1.0641222779216444</v>
      </c>
      <c r="C153">
        <v>-1.0641222779216444</v>
      </c>
    </row>
    <row r="154" spans="1:3" x14ac:dyDescent="0.55000000000000004">
      <c r="A154">
        <v>9.8643216080401999</v>
      </c>
      <c r="B154">
        <v>1.0498610985310866</v>
      </c>
      <c r="C154">
        <v>-1.0498610985310866</v>
      </c>
    </row>
    <row r="155" spans="1:3" x14ac:dyDescent="0.55000000000000004">
      <c r="A155">
        <v>9.9296482412060296</v>
      </c>
      <c r="B155">
        <v>1.0354487751367618</v>
      </c>
      <c r="C155">
        <v>-1.0354487751367618</v>
      </c>
    </row>
    <row r="156" spans="1:3" x14ac:dyDescent="0.55000000000000004">
      <c r="A156">
        <v>9.9949748743718594</v>
      </c>
      <c r="B156">
        <v>1.020882568570413</v>
      </c>
      <c r="C156">
        <v>-1.020882568570413</v>
      </c>
    </row>
    <row r="157" spans="1:3" x14ac:dyDescent="0.55000000000000004">
      <c r="A157">
        <v>10.060301507537689</v>
      </c>
      <c r="B157">
        <v>1.0061596095918988</v>
      </c>
      <c r="C157">
        <v>-1.0061596095918988</v>
      </c>
    </row>
    <row r="158" spans="1:3" x14ac:dyDescent="0.55000000000000004">
      <c r="A158">
        <v>10.125628140703519</v>
      </c>
      <c r="B158">
        <v>0.99127688965128558</v>
      </c>
      <c r="C158">
        <v>-0.99127688965128558</v>
      </c>
    </row>
    <row r="159" spans="1:3" x14ac:dyDescent="0.55000000000000004">
      <c r="A159">
        <v>10.190954773869347</v>
      </c>
      <c r="B159">
        <v>0.97623125076442263</v>
      </c>
      <c r="C159">
        <v>-0.97623125076442263</v>
      </c>
    </row>
    <row r="160" spans="1:3" x14ac:dyDescent="0.55000000000000004">
      <c r="A160">
        <v>10.256281407035175</v>
      </c>
      <c r="B160">
        <v>0.96101937439410201</v>
      </c>
      <c r="C160">
        <v>-0.96101937439410201</v>
      </c>
    </row>
    <row r="161" spans="1:3" x14ac:dyDescent="0.55000000000000004">
      <c r="A161">
        <v>10.321608040201005</v>
      </c>
      <c r="B161">
        <v>0.9456377692128517</v>
      </c>
      <c r="C161">
        <v>-0.9456377692128517</v>
      </c>
    </row>
    <row r="162" spans="1:3" x14ac:dyDescent="0.55000000000000004">
      <c r="A162">
        <v>10.386934673366834</v>
      </c>
      <c r="B162">
        <v>0.93008275760453241</v>
      </c>
      <c r="C162">
        <v>-0.93008275760453241</v>
      </c>
    </row>
    <row r="163" spans="1:3" x14ac:dyDescent="0.55000000000000004">
      <c r="A163">
        <v>10.452261306532664</v>
      </c>
      <c r="B163">
        <v>0.91435046073959214</v>
      </c>
      <c r="C163">
        <v>-0.91435046073959214</v>
      </c>
    </row>
    <row r="164" spans="1:3" x14ac:dyDescent="0.55000000000000004">
      <c r="A164">
        <v>10.517587939698492</v>
      </c>
      <c r="B164">
        <v>0.89843678203238642</v>
      </c>
      <c r="C164">
        <v>-0.89843678203238642</v>
      </c>
    </row>
    <row r="165" spans="1:3" x14ac:dyDescent="0.55000000000000004">
      <c r="A165">
        <v>10.582914572864322</v>
      </c>
      <c r="B165">
        <v>0.8823373887574476</v>
      </c>
      <c r="C165">
        <v>-0.8823373887574476</v>
      </c>
    </row>
    <row r="166" spans="1:3" x14ac:dyDescent="0.55000000000000004">
      <c r="A166">
        <v>10.64824120603015</v>
      </c>
      <c r="B166">
        <v>0.86604769156389838</v>
      </c>
      <c r="C166">
        <v>-0.86604769156389838</v>
      </c>
    </row>
    <row r="167" spans="1:3" x14ac:dyDescent="0.55000000000000004">
      <c r="A167">
        <v>10.71356783919598</v>
      </c>
      <c r="B167">
        <v>0.84956282158189966</v>
      </c>
      <c r="C167">
        <v>-0.84956282158189966</v>
      </c>
    </row>
    <row r="168" spans="1:3" x14ac:dyDescent="0.55000000000000004">
      <c r="A168">
        <v>10.778894472361809</v>
      </c>
      <c r="B168">
        <v>0.83287760476033779</v>
      </c>
      <c r="C168">
        <v>-0.83287760476033779</v>
      </c>
    </row>
    <row r="169" spans="1:3" x14ac:dyDescent="0.55000000000000004">
      <c r="A169">
        <v>10.844221105527637</v>
      </c>
      <c r="B169">
        <v>0.81598653300856117</v>
      </c>
      <c r="C169">
        <v>-0.81598653300856117</v>
      </c>
    </row>
    <row r="170" spans="1:3" x14ac:dyDescent="0.55000000000000004">
      <c r="A170">
        <v>10.909547738693467</v>
      </c>
      <c r="B170">
        <v>0.79888373163398374</v>
      </c>
      <c r="C170">
        <v>-0.79888373163398374</v>
      </c>
    </row>
    <row r="171" spans="1:3" x14ac:dyDescent="0.55000000000000004">
      <c r="A171">
        <v>10.974874371859297</v>
      </c>
      <c r="B171">
        <v>0.78156292246798931</v>
      </c>
      <c r="C171">
        <v>-0.78156292246798931</v>
      </c>
    </row>
    <row r="172" spans="1:3" x14ac:dyDescent="0.55000000000000004">
      <c r="A172">
        <v>11.040201005025125</v>
      </c>
      <c r="B172">
        <v>0.76401738194985247</v>
      </c>
      <c r="C172">
        <v>-0.76401738194985247</v>
      </c>
    </row>
    <row r="173" spans="1:3" x14ac:dyDescent="0.55000000000000004">
      <c r="A173">
        <v>11.105527638190955</v>
      </c>
      <c r="B173">
        <v>0.74623989328597462</v>
      </c>
      <c r="C173">
        <v>-0.74623989328597462</v>
      </c>
    </row>
    <row r="174" spans="1:3" x14ac:dyDescent="0.55000000000000004">
      <c r="A174">
        <v>11.170854271356783</v>
      </c>
      <c r="B174">
        <v>0.72822269161105468</v>
      </c>
      <c r="C174">
        <v>-0.72822269161105468</v>
      </c>
    </row>
    <row r="175" spans="1:3" x14ac:dyDescent="0.55000000000000004">
      <c r="A175">
        <v>11.236180904522612</v>
      </c>
      <c r="B175">
        <v>0.70995740083759917</v>
      </c>
      <c r="C175">
        <v>-0.70995740083759917</v>
      </c>
    </row>
    <row r="176" spans="1:3" x14ac:dyDescent="0.55000000000000004">
      <c r="A176">
        <v>11.301507537688442</v>
      </c>
      <c r="B176">
        <v>0.69143496057523013</v>
      </c>
      <c r="C176">
        <v>-0.69143496057523013</v>
      </c>
    </row>
    <row r="177" spans="1:3" x14ac:dyDescent="0.55000000000000004">
      <c r="A177">
        <v>11.366834170854272</v>
      </c>
      <c r="B177">
        <v>0.67264554111087071</v>
      </c>
      <c r="C177">
        <v>-0.67264554111087071</v>
      </c>
    </row>
    <row r="178" spans="1:3" x14ac:dyDescent="0.55000000000000004">
      <c r="A178">
        <v>11.432160804020102</v>
      </c>
      <c r="B178">
        <v>0.65357844393683162</v>
      </c>
      <c r="C178">
        <v>-0.65357844393683162</v>
      </c>
    </row>
    <row r="179" spans="1:3" x14ac:dyDescent="0.55000000000000004">
      <c r="A179">
        <v>11.49748743718593</v>
      </c>
      <c r="B179">
        <v>0.63422198465670032</v>
      </c>
      <c r="C179">
        <v>-0.63422198465670032</v>
      </c>
    </row>
    <row r="180" spans="1:3" x14ac:dyDescent="0.55000000000000004">
      <c r="A180">
        <v>11.562814070351758</v>
      </c>
      <c r="B180">
        <v>0.61456335423355446</v>
      </c>
      <c r="C180">
        <v>-0.61456335423355446</v>
      </c>
    </row>
    <row r="181" spans="1:3" x14ac:dyDescent="0.55000000000000004">
      <c r="A181">
        <v>11.628140703517587</v>
      </c>
      <c r="B181">
        <v>0.59458845339278965</v>
      </c>
      <c r="C181">
        <v>-0.59458845339278965</v>
      </c>
    </row>
    <row r="182" spans="1:3" x14ac:dyDescent="0.55000000000000004">
      <c r="A182">
        <v>11.693467336683417</v>
      </c>
      <c r="B182">
        <v>0.57428169343921798</v>
      </c>
      <c r="C182">
        <v>-0.57428169343921798</v>
      </c>
    </row>
    <row r="183" spans="1:3" x14ac:dyDescent="0.55000000000000004">
      <c r="A183">
        <v>11.758793969849247</v>
      </c>
      <c r="B183">
        <v>0.55362575462865482</v>
      </c>
      <c r="C183">
        <v>-0.55362575462865482</v>
      </c>
    </row>
    <row r="184" spans="1:3" x14ac:dyDescent="0.55000000000000004">
      <c r="A184">
        <v>11.824120603015077</v>
      </c>
      <c r="B184">
        <v>0.53260129029981651</v>
      </c>
      <c r="C184">
        <v>-0.53260129029981651</v>
      </c>
    </row>
    <row r="185" spans="1:3" x14ac:dyDescent="0.55000000000000004">
      <c r="A185">
        <v>11.889447236180905</v>
      </c>
      <c r="B185">
        <v>0.51118656084596592</v>
      </c>
      <c r="C185">
        <v>-0.51118656084596592</v>
      </c>
    </row>
    <row r="186" spans="1:3" x14ac:dyDescent="0.55000000000000004">
      <c r="A186">
        <v>11.954773869346733</v>
      </c>
      <c r="B186">
        <v>0.48935697570321357</v>
      </c>
      <c r="C186">
        <v>-0.48935697570321357</v>
      </c>
    </row>
    <row r="187" spans="1:3" x14ac:dyDescent="0.55000000000000004">
      <c r="A187">
        <v>12.020100502512562</v>
      </c>
      <c r="B187">
        <v>0.46708451292776165</v>
      </c>
      <c r="C187">
        <v>-0.46708451292776165</v>
      </c>
    </row>
    <row r="188" spans="1:3" x14ac:dyDescent="0.55000000000000004">
      <c r="A188">
        <v>12.085427135678392</v>
      </c>
      <c r="B188">
        <v>0.44433697312349713</v>
      </c>
      <c r="C188">
        <v>-0.44433697312349713</v>
      </c>
    </row>
    <row r="189" spans="1:3" x14ac:dyDescent="0.55000000000000004">
      <c r="A189">
        <v>12.150753768844222</v>
      </c>
      <c r="B189">
        <v>0.42107700495221961</v>
      </c>
      <c r="C189">
        <v>-0.42107700495221961</v>
      </c>
    </row>
    <row r="190" spans="1:3" x14ac:dyDescent="0.55000000000000004">
      <c r="A190">
        <v>12.21608040201005</v>
      </c>
      <c r="B190">
        <v>0.39726080888391363</v>
      </c>
      <c r="C190">
        <v>-0.39726080888391363</v>
      </c>
    </row>
    <row r="191" spans="1:3" x14ac:dyDescent="0.55000000000000004">
      <c r="A191">
        <v>12.28140703517588</v>
      </c>
      <c r="B191">
        <v>0.3728363765016709</v>
      </c>
      <c r="C191">
        <v>-0.3728363765016709</v>
      </c>
    </row>
    <row r="192" spans="1:3" x14ac:dyDescent="0.55000000000000004">
      <c r="A192">
        <v>12.346733668341709</v>
      </c>
      <c r="B192">
        <v>0.34774104021930013</v>
      </c>
      <c r="C192">
        <v>-0.34774104021930013</v>
      </c>
    </row>
    <row r="193" spans="1:3" x14ac:dyDescent="0.55000000000000004">
      <c r="A193">
        <v>12.412060301507537</v>
      </c>
      <c r="B193">
        <v>0.32189796477860955</v>
      </c>
      <c r="C193">
        <v>-0.32189796477860955</v>
      </c>
    </row>
    <row r="194" spans="1:3" x14ac:dyDescent="0.55000000000000004">
      <c r="A194">
        <v>12.477386934673367</v>
      </c>
      <c r="B194">
        <v>0.29521094998346431</v>
      </c>
      <c r="C194">
        <v>-0.29521094998346431</v>
      </c>
    </row>
    <row r="195" spans="1:3" x14ac:dyDescent="0.55000000000000004">
      <c r="A195">
        <v>12.542713567839195</v>
      </c>
      <c r="B195">
        <v>0.26755640795998636</v>
      </c>
      <c r="C195">
        <v>-0.26755640795998636</v>
      </c>
    </row>
    <row r="196" spans="1:3" x14ac:dyDescent="0.55000000000000004">
      <c r="A196">
        <v>12.608040201005025</v>
      </c>
      <c r="B196">
        <v>0.23877032928251093</v>
      </c>
      <c r="C196">
        <v>-0.23877032928251093</v>
      </c>
    </row>
    <row r="197" spans="1:3" x14ac:dyDescent="0.55000000000000004">
      <c r="A197">
        <v>12.673366834170855</v>
      </c>
      <c r="B197">
        <v>0.20862567964967033</v>
      </c>
      <c r="C197">
        <v>-0.20862567964967033</v>
      </c>
    </row>
    <row r="198" spans="1:3" x14ac:dyDescent="0.55000000000000004">
      <c r="A198">
        <v>12.738693467336685</v>
      </c>
      <c r="B198">
        <v>0.17678965570852986</v>
      </c>
      <c r="C198">
        <v>-0.17678965570852986</v>
      </c>
    </row>
    <row r="199" spans="1:3" x14ac:dyDescent="0.55000000000000004">
      <c r="A199">
        <v>12.804020100502512</v>
      </c>
      <c r="B199">
        <v>0.14273242850438808</v>
      </c>
      <c r="C199">
        <v>-0.14273242850438808</v>
      </c>
    </row>
    <row r="200" spans="1:3" x14ac:dyDescent="0.55000000000000004">
      <c r="A200">
        <v>12.86934673366834</v>
      </c>
      <c r="B200">
        <v>0.10549268306512911</v>
      </c>
      <c r="C200">
        <v>-0.10549268306512911</v>
      </c>
    </row>
    <row r="201" spans="1:3" x14ac:dyDescent="0.55000000000000004">
      <c r="A201">
        <v>12.93467336683417</v>
      </c>
      <c r="B201">
        <v>6.2837116273652863E-2</v>
      </c>
      <c r="C201">
        <v>-6.2837116273652863E-2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7" t="s">
        <v>42</v>
      </c>
      <c r="C2" s="37"/>
      <c r="D2" s="37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7" t="s">
        <v>43</v>
      </c>
      <c r="C7" s="37"/>
      <c r="D7" s="37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7" t="s">
        <v>47</v>
      </c>
      <c r="C12" s="37"/>
      <c r="D12" s="37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2016-03-02T00:24:34Z</dcterms:modified>
</cp:coreProperties>
</file>