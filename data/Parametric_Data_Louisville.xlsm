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pace\Documents\Emily\Rocketry_Performance\data\"/>
    </mc:Choice>
  </mc:AlternateContent>
  <bookViews>
    <workbookView xWindow="0" yWindow="0" windowWidth="25200" windowHeight="11985" firstSheet="1" activeTab="2"/>
  </bookViews>
  <sheets>
    <sheet name="PARAMETERS" sheetId="13" r:id="rId1"/>
    <sheet name="Sheet1" sheetId="19" r:id="rId2"/>
    <sheet name="Matlab_Data" sheetId="18" r:id="rId3"/>
    <sheet name="Nosecone_Data" sheetId="20" r:id="rId4"/>
    <sheet name="Inertial Data" sheetId="14" r:id="rId5"/>
    <sheet name="General Parameters" sheetId="15" r:id="rId6"/>
  </sheets>
  <externalReferences>
    <externalReference r:id="rId7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8" l="1"/>
  <c r="B23" i="18" l="1"/>
  <c r="D23" i="18"/>
  <c r="B8" i="18"/>
  <c r="B4" i="18"/>
  <c r="B2" i="18"/>
  <c r="B9" i="18"/>
  <c r="B39" i="18"/>
  <c r="B52" i="18"/>
  <c r="B7" i="18"/>
  <c r="B6" i="18"/>
  <c r="B13" i="18"/>
  <c r="B68" i="18" l="1"/>
  <c r="B61" i="18" l="1"/>
  <c r="B63" i="18"/>
  <c r="B62" i="18"/>
  <c r="B55" i="18" l="1"/>
  <c r="B15" i="18"/>
  <c r="B14" i="18"/>
  <c r="B34" i="18" l="1"/>
  <c r="B49" i="18"/>
  <c r="B51" i="18" s="1"/>
  <c r="B41" i="18"/>
  <c r="B43" i="18"/>
  <c r="B60" i="18"/>
  <c r="B59" i="18" s="1"/>
  <c r="B50" i="18" l="1"/>
  <c r="B53" i="18" s="1"/>
  <c r="B36" i="18"/>
  <c r="B56" i="18" l="1"/>
  <c r="B64" i="18" s="1"/>
  <c r="B30" i="18"/>
  <c r="E33" i="18"/>
  <c r="B31" i="18" l="1"/>
  <c r="B32" i="18"/>
  <c r="B33" i="18" s="1"/>
  <c r="B3" i="18" l="1"/>
  <c r="E36" i="18"/>
  <c r="E35" i="18"/>
  <c r="B48" i="18"/>
  <c r="B5" i="18"/>
  <c r="D32" i="18" l="1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  <c r="B67" i="18" s="1"/>
</calcChain>
</file>

<file path=xl/sharedStrings.xml><?xml version="1.0" encoding="utf-8"?>
<sst xmlns="http://schemas.openxmlformats.org/spreadsheetml/2006/main" count="320" uniqueCount="184">
  <si>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</si>
  <si>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</si>
  <si>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</si>
  <si>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</si>
  <si>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</si>
  <si>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</si>
  <si>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</si>
  <si>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</si>
  <si>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</si>
  <si>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</si>
  <si>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</si>
  <si>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</si>
  <si>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</si>
  <si>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</si>
  <si>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</si>
  <si>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</si>
  <si>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</si>
  <si>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</si>
  <si>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</si>
  <si>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</si>
  <si>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</si>
  <si>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</si>
  <si>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</si>
  <si>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</si>
  <si>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</si>
  <si>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</si>
  <si>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</si>
  <si>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</si>
  <si>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</si>
  <si>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</si>
  <si>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</si>
  <si>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</si>
  <si>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</si>
  <si>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</si>
  <si>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</si>
  <si>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</si>
  <si>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</si>
  <si>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</si>
  <si>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</si>
  <si>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</si>
  <si>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</si>
  <si>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</si>
  <si>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</si>
  <si>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</si>
  <si>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</si>
  <si>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</si>
  <si>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</si>
  <si>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</si>
  <si>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</si>
  <si>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</si>
  <si>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</si>
  <si>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</si>
  <si>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</si>
  <si>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</si>
  <si>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</si>
  <si>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</si>
  <si>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</si>
  <si>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</si>
  <si>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</si>
  <si>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</si>
  <si>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</si>
  <si>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</si>
  <si>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</si>
  <si>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</si>
  <si>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</si>
  <si>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</si>
  <si>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</si>
  <si>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</si>
  <si>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</si>
  <si>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</si>
  <si>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</si>
  <si>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</si>
  <si>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</si>
  <si>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</si>
  <si>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</si>
  <si>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</si>
  <si>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</si>
  <si>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</si>
  <si>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</si>
  <si>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</si>
  <si>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</si>
  <si>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</si>
  <si>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</si>
  <si>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</si>
  <si>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</si>
  <si>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</si>
  <si>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</si>
  <si>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</si>
  <si>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</si>
  <si>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</si>
  <si>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</si>
  <si>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</si>
  <si>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</si>
  <si>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</si>
  <si>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</si>
  <si>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</si>
  <si>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</si>
  <si>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</si>
  <si>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</si>
  <si>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</si>
  <si>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</si>
  <si>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</si>
  <si>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</si>
  <si>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</si>
  <si>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</si>
  <si>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</si>
  <si>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</si>
  <si>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</si>
  <si>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</si>
  <si>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</si>
  <si>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</si>
  <si>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</si>
  <si>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</si>
  <si>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</si>
  <si>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</si>
  <si>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</si>
  <si>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</si>
  <si>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</si>
  <si>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</si>
  <si>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</si>
  <si>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</si>
  <si>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</si>
  <si>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</si>
  <si>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</si>
  <si>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</si>
  <si>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</si>
  <si>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</si>
  <si>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</si>
  <si>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</si>
  <si>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</si>
  <si>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</si>
  <si>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</si>
  <si>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</si>
  <si>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</si>
  <si>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</si>
  <si>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</si>
  <si>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</si>
  <si>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</si>
  <si>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</si>
  <si>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</si>
  <si>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</si>
  <si>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</si>
  <si>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</si>
  <si>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</si>
  <si>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</si>
  <si>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</si>
  <si>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</si>
  <si>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</si>
  <si>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</si>
  <si>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</si>
  <si>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</si>
  <si>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</si>
  <si>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</si>
  <si>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</si>
  <si>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</si>
  <si>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</si>
  <si>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</si>
  <si>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</si>
  <si>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</si>
  <si>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</si>
  <si>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</si>
  <si>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</si>
  <si>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</si>
  <si>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</si>
  <si>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</si>
  <si>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</si>
  <si>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</si>
  <si>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</si>
  <si>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</si>
  <si>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</si>
  <si>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</si>
  <si>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</si>
  <si>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</si>
  <si>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</si>
  <si>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</si>
  <si>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Haack</t>
  </si>
  <si>
    <t>Actually, take average of all the flights</t>
  </si>
  <si>
    <t>61.5 F</t>
  </si>
  <si>
    <t>nosecone_type</t>
  </si>
  <si>
    <t>1- LV_Haack, 2-LD_Haack</t>
  </si>
  <si>
    <t>X</t>
  </si>
  <si>
    <t>Y</t>
  </si>
  <si>
    <t>-Y</t>
  </si>
  <si>
    <t>COP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</si>
</sst>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9" borderId="1" xfId="0" applyFill="1" applyBorder="1"/>
    <xf numFmtId="11" fontId="0" fillId="9" borderId="1" xfId="0" applyNumberFormat="1" applyFill="1" applyBorder="1"/>
    <xf numFmtId="0" fontId="0" fillId="5" borderId="1" xfId="0" applyFill="1" applyBorder="1" applyAlignment="1">
      <alignment horizontal="center"/>
    </xf>
    <xf numFmtId="0" fontId="0" fillId="0" borderId="13" xfId="0" applyFill="1" applyBorder="1"/>
    <xf numFmtId="0" fontId="0" fillId="10" borderId="1" xfId="0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Tangent Ogive, Secant Ogive, or Related Curves </a:t>
            </a:r>
          </a:p>
        </c:rich>
      </c:tx>
      <c:layout>
        <c:manualLayout>
          <c:xMode val="edge"/>
          <c:yMode val="edge"/>
          <c:x val="0.10554570936671002"/>
          <c:y val="2.7444276844812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933847877983738E-2"/>
          <c:y val="0.13379084961846191"/>
          <c:w val="0.8175320200099403"/>
          <c:h val="0.78387715737996266"/>
        </c:manualLayout>
      </c:layout>
      <c:scatterChart>
        <c:scatterStyle val="smoothMarker"/>
        <c:varyColors val="0"/>
        <c:ser>
          <c:idx val="2"/>
          <c:order val="0"/>
          <c:tx>
            <c:strRef>
              <c:f>[1]OGIVE!$B$9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Nosecone_Data!$A$2:$A$65</c:f>
              <c:numCache>
                <c:formatCode>0.000</c:formatCode>
                <c:ptCount val="64"/>
                <c:pt idx="0" formatCode="General">
                  <c:v>0</c:v>
                </c:pt>
                <c:pt idx="1">
                  <c:v>0</c:v>
                </c:pt>
                <c:pt idx="2">
                  <c:v>0.20967741935483869</c:v>
                </c:pt>
                <c:pt idx="3">
                  <c:v>0.41935483870967738</c:v>
                </c:pt>
                <c:pt idx="4">
                  <c:v>0.62903225806451613</c:v>
                </c:pt>
                <c:pt idx="5">
                  <c:v>0.83870967741935476</c:v>
                </c:pt>
                <c:pt idx="6">
                  <c:v>1.0483870967741935</c:v>
                </c:pt>
                <c:pt idx="7">
                  <c:v>1.2580645161290323</c:v>
                </c:pt>
                <c:pt idx="8">
                  <c:v>1.467741935483871</c:v>
                </c:pt>
                <c:pt idx="9">
                  <c:v>1.6774193548387095</c:v>
                </c:pt>
                <c:pt idx="10">
                  <c:v>1.8870967741935485</c:v>
                </c:pt>
                <c:pt idx="11">
                  <c:v>2.096774193548387</c:v>
                </c:pt>
                <c:pt idx="12">
                  <c:v>2.306451612903226</c:v>
                </c:pt>
                <c:pt idx="13">
                  <c:v>2.5161290322580645</c:v>
                </c:pt>
                <c:pt idx="14">
                  <c:v>2.7258064516129035</c:v>
                </c:pt>
                <c:pt idx="15">
                  <c:v>2.935483870967742</c:v>
                </c:pt>
                <c:pt idx="16">
                  <c:v>3.145161290322581</c:v>
                </c:pt>
                <c:pt idx="17">
                  <c:v>3.354838709677419</c:v>
                </c:pt>
                <c:pt idx="18">
                  <c:v>3.564516129032258</c:v>
                </c:pt>
                <c:pt idx="19" formatCode="General">
                  <c:v>3.774193548387097</c:v>
                </c:pt>
                <c:pt idx="20" formatCode="General">
                  <c:v>3.9838709677419355</c:v>
                </c:pt>
                <c:pt idx="21" formatCode="General">
                  <c:v>4.193548387096774</c:v>
                </c:pt>
                <c:pt idx="22" formatCode="General">
                  <c:v>4.403225806451613</c:v>
                </c:pt>
                <c:pt idx="23" formatCode="General">
                  <c:v>4.612903225806452</c:v>
                </c:pt>
                <c:pt idx="24" formatCode="General">
                  <c:v>4.82258064516129</c:v>
                </c:pt>
                <c:pt idx="25" formatCode="General">
                  <c:v>5.032258064516129</c:v>
                </c:pt>
                <c:pt idx="26" formatCode="General">
                  <c:v>5.2419354838709671</c:v>
                </c:pt>
                <c:pt idx="27" formatCode="General">
                  <c:v>5.4516129032258069</c:v>
                </c:pt>
                <c:pt idx="28" formatCode="General">
                  <c:v>5.661290322580645</c:v>
                </c:pt>
                <c:pt idx="29" formatCode="General">
                  <c:v>5.870967741935484</c:v>
                </c:pt>
                <c:pt idx="30" formatCode="General">
                  <c:v>6.0806451612903221</c:v>
                </c:pt>
                <c:pt idx="31" formatCode="General">
                  <c:v>6.2903225806451619</c:v>
                </c:pt>
                <c:pt idx="32" formatCode="General">
                  <c:v>6.5</c:v>
                </c:pt>
                <c:pt idx="33" formatCode="General">
                  <c:v>6.7096774193548381</c:v>
                </c:pt>
                <c:pt idx="34" formatCode="General">
                  <c:v>6.919354838709677</c:v>
                </c:pt>
                <c:pt idx="35" formatCode="General">
                  <c:v>7.129032258064516</c:v>
                </c:pt>
                <c:pt idx="36" formatCode="General">
                  <c:v>7.3387096774193559</c:v>
                </c:pt>
                <c:pt idx="37" formatCode="General">
                  <c:v>7.5483870967741939</c:v>
                </c:pt>
                <c:pt idx="38" formatCode="General">
                  <c:v>7.7580645161290329</c:v>
                </c:pt>
                <c:pt idx="39" formatCode="General">
                  <c:v>7.967741935483871</c:v>
                </c:pt>
                <c:pt idx="40" formatCode="General">
                  <c:v>8.17741935483871</c:v>
                </c:pt>
                <c:pt idx="41" formatCode="General">
                  <c:v>8.387096774193548</c:v>
                </c:pt>
                <c:pt idx="42" formatCode="General">
                  <c:v>8.5967741935483861</c:v>
                </c:pt>
                <c:pt idx="43" formatCode="General">
                  <c:v>8.806451612903226</c:v>
                </c:pt>
                <c:pt idx="44" formatCode="General">
                  <c:v>9.0161290322580658</c:v>
                </c:pt>
                <c:pt idx="45" formatCode="General">
                  <c:v>9.2258064516129039</c:v>
                </c:pt>
                <c:pt idx="46" formatCode="General">
                  <c:v>9.435483870967742</c:v>
                </c:pt>
                <c:pt idx="47" formatCode="General">
                  <c:v>9.6451612903225801</c:v>
                </c:pt>
                <c:pt idx="48" formatCode="General">
                  <c:v>9.8548387096774199</c:v>
                </c:pt>
                <c:pt idx="49" formatCode="General">
                  <c:v>10.064516129032258</c:v>
                </c:pt>
                <c:pt idx="50" formatCode="General">
                  <c:v>10.274193548387096</c:v>
                </c:pt>
                <c:pt idx="51" formatCode="General">
                  <c:v>10.483870967741934</c:v>
                </c:pt>
                <c:pt idx="52" formatCode="General">
                  <c:v>10.693548387096774</c:v>
                </c:pt>
                <c:pt idx="53" formatCode="General">
                  <c:v>10.903225806451614</c:v>
                </c:pt>
                <c:pt idx="54" formatCode="General">
                  <c:v>11.112903225806452</c:v>
                </c:pt>
                <c:pt idx="55" formatCode="General">
                  <c:v>11.32258064516129</c:v>
                </c:pt>
                <c:pt idx="56" formatCode="General">
                  <c:v>11.532258064516128</c:v>
                </c:pt>
                <c:pt idx="57" formatCode="General">
                  <c:v>11.741935483870968</c:v>
                </c:pt>
                <c:pt idx="58" formatCode="General">
                  <c:v>11.951612903225806</c:v>
                </c:pt>
                <c:pt idx="59" formatCode="General">
                  <c:v>12.161290322580644</c:v>
                </c:pt>
                <c:pt idx="60" formatCode="General">
                  <c:v>12.370967741935484</c:v>
                </c:pt>
                <c:pt idx="61" formatCode="General">
                  <c:v>12.580645161290324</c:v>
                </c:pt>
                <c:pt idx="62" formatCode="General">
                  <c:v>12.790322580645162</c:v>
                </c:pt>
                <c:pt idx="63" formatCode="General">
                  <c:v>13</c:v>
                </c:pt>
              </c:numCache>
            </c:numRef>
          </c:xVal>
          <c:yVal>
            <c:numRef>
              <c:f>Nosecone_Data!$B$2:$B$65</c:f>
              <c:numCache>
                <c:formatCode>General</c:formatCode>
                <c:ptCount val="64"/>
                <c:pt idx="0">
                  <c:v>0</c:v>
                </c:pt>
                <c:pt idx="1">
                  <c:v>2.09</c:v>
                </c:pt>
                <c:pt idx="2">
                  <c:v>2.0894562955254941</c:v>
                </c:pt>
                <c:pt idx="3">
                  <c:v>2.0878251821019771</c:v>
                </c:pt>
                <c:pt idx="4">
                  <c:v>2.0851066597294485</c:v>
                </c:pt>
                <c:pt idx="5">
                  <c:v>2.0813007284079084</c:v>
                </c:pt>
                <c:pt idx="6">
                  <c:v>2.0764073881373566</c:v>
                </c:pt>
                <c:pt idx="7">
                  <c:v>2.0704266389177937</c:v>
                </c:pt>
                <c:pt idx="8">
                  <c:v>2.0633584807492196</c:v>
                </c:pt>
                <c:pt idx="9">
                  <c:v>2.0552029136316334</c:v>
                </c:pt>
                <c:pt idx="10">
                  <c:v>2.0459599375650361</c:v>
                </c:pt>
                <c:pt idx="11">
                  <c:v>2.0356295525494277</c:v>
                </c:pt>
                <c:pt idx="12">
                  <c:v>2.0242117585848072</c:v>
                </c:pt>
                <c:pt idx="13">
                  <c:v>2.0117065556711755</c:v>
                </c:pt>
                <c:pt idx="14">
                  <c:v>1.9981139438085327</c:v>
                </c:pt>
                <c:pt idx="15">
                  <c:v>1.983433922996878</c:v>
                </c:pt>
                <c:pt idx="16">
                  <c:v>1.967666493236212</c:v>
                </c:pt>
                <c:pt idx="17">
                  <c:v>1.9508116545265348</c:v>
                </c:pt>
                <c:pt idx="18">
                  <c:v>1.9328694068678458</c:v>
                </c:pt>
                <c:pt idx="19">
                  <c:v>1.9138397502601456</c:v>
                </c:pt>
                <c:pt idx="20">
                  <c:v>1.8937226847034339</c:v>
                </c:pt>
                <c:pt idx="21">
                  <c:v>1.8725182101977107</c:v>
                </c:pt>
                <c:pt idx="22">
                  <c:v>1.8502263267429759</c:v>
                </c:pt>
                <c:pt idx="23">
                  <c:v>1.8268470343392298</c:v>
                </c:pt>
                <c:pt idx="24">
                  <c:v>1.8023803329864723</c:v>
                </c:pt>
                <c:pt idx="25">
                  <c:v>1.7768262226847034</c:v>
                </c:pt>
                <c:pt idx="26">
                  <c:v>1.7501847034339229</c:v>
                </c:pt>
                <c:pt idx="27">
                  <c:v>1.722455775234131</c:v>
                </c:pt>
                <c:pt idx="28">
                  <c:v>1.6936394380853277</c:v>
                </c:pt>
                <c:pt idx="29">
                  <c:v>1.663735691987513</c:v>
                </c:pt>
                <c:pt idx="30">
                  <c:v>1.6327445369406868</c:v>
                </c:pt>
                <c:pt idx="31">
                  <c:v>1.6006659729448489</c:v>
                </c:pt>
                <c:pt idx="32">
                  <c:v>1.5674999999999999</c:v>
                </c:pt>
                <c:pt idx="33">
                  <c:v>1.5332466181061395</c:v>
                </c:pt>
                <c:pt idx="34">
                  <c:v>1.4979058272632675</c:v>
                </c:pt>
                <c:pt idx="35">
                  <c:v>1.4614776274713839</c:v>
                </c:pt>
                <c:pt idx="36">
                  <c:v>1.4239620187304889</c:v>
                </c:pt>
                <c:pt idx="37">
                  <c:v>1.3853590010405825</c:v>
                </c:pt>
                <c:pt idx="38">
                  <c:v>1.3456685744016648</c:v>
                </c:pt>
                <c:pt idx="39">
                  <c:v>1.3048907388137356</c:v>
                </c:pt>
                <c:pt idx="40">
                  <c:v>1.2630254942767949</c:v>
                </c:pt>
                <c:pt idx="41">
                  <c:v>1.2200728407908428</c:v>
                </c:pt>
                <c:pt idx="42">
                  <c:v>1.1760327783558793</c:v>
                </c:pt>
                <c:pt idx="43">
                  <c:v>1.1309053069719039</c:v>
                </c:pt>
                <c:pt idx="44">
                  <c:v>1.0846904266389175</c:v>
                </c:pt>
                <c:pt idx="45">
                  <c:v>1.0373881373569196</c:v>
                </c:pt>
                <c:pt idx="46">
                  <c:v>0.98899843912591034</c:v>
                </c:pt>
                <c:pt idx="47">
                  <c:v>0.93952133194588949</c:v>
                </c:pt>
                <c:pt idx="48">
                  <c:v>0.88895681581685737</c:v>
                </c:pt>
                <c:pt idx="49">
                  <c:v>0.83730489073881376</c:v>
                </c:pt>
                <c:pt idx="50">
                  <c:v>0.78456555671175854</c:v>
                </c:pt>
                <c:pt idx="51">
                  <c:v>0.73073881373569216</c:v>
                </c:pt>
                <c:pt idx="52">
                  <c:v>0.67582466181061396</c:v>
                </c:pt>
                <c:pt idx="53">
                  <c:v>0.61982310093652426</c:v>
                </c:pt>
                <c:pt idx="54">
                  <c:v>0.56273413111342352</c:v>
                </c:pt>
                <c:pt idx="55">
                  <c:v>0.50455775234131117</c:v>
                </c:pt>
                <c:pt idx="56">
                  <c:v>0.44529396462018772</c:v>
                </c:pt>
                <c:pt idx="57">
                  <c:v>0.38494276795005217</c:v>
                </c:pt>
                <c:pt idx="58">
                  <c:v>0.32350416233090551</c:v>
                </c:pt>
                <c:pt idx="59">
                  <c:v>0.26097814776274741</c:v>
                </c:pt>
                <c:pt idx="60">
                  <c:v>0.1973647242455773</c:v>
                </c:pt>
                <c:pt idx="61">
                  <c:v>0.13266389177939578</c:v>
                </c:pt>
                <c:pt idx="62">
                  <c:v>6.6875650364203815E-2</c:v>
                </c:pt>
                <c:pt idx="63">
                  <c:v>0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[1]OGIVE!$C$9</c:f>
              <c:strCache>
                <c:ptCount val="1"/>
                <c:pt idx="0">
                  <c:v>negative Y</c:v>
                </c:pt>
              </c:strCache>
            </c:strRef>
          </c:tx>
          <c:marker>
            <c:symbol val="none"/>
          </c:marker>
          <c:xVal>
            <c:numRef>
              <c:f>Nosecone_Data!$A$2:$A$65</c:f>
              <c:numCache>
                <c:formatCode>0.000</c:formatCode>
                <c:ptCount val="64"/>
                <c:pt idx="0" formatCode="General">
                  <c:v>0</c:v>
                </c:pt>
                <c:pt idx="1">
                  <c:v>0</c:v>
                </c:pt>
                <c:pt idx="2">
                  <c:v>0.20967741935483869</c:v>
                </c:pt>
                <c:pt idx="3">
                  <c:v>0.41935483870967738</c:v>
                </c:pt>
                <c:pt idx="4">
                  <c:v>0.62903225806451613</c:v>
                </c:pt>
                <c:pt idx="5">
                  <c:v>0.83870967741935476</c:v>
                </c:pt>
                <c:pt idx="6">
                  <c:v>1.0483870967741935</c:v>
                </c:pt>
                <c:pt idx="7">
                  <c:v>1.2580645161290323</c:v>
                </c:pt>
                <c:pt idx="8">
                  <c:v>1.467741935483871</c:v>
                </c:pt>
                <c:pt idx="9">
                  <c:v>1.6774193548387095</c:v>
                </c:pt>
                <c:pt idx="10">
                  <c:v>1.8870967741935485</c:v>
                </c:pt>
                <c:pt idx="11">
                  <c:v>2.096774193548387</c:v>
                </c:pt>
                <c:pt idx="12">
                  <c:v>2.306451612903226</c:v>
                </c:pt>
                <c:pt idx="13">
                  <c:v>2.5161290322580645</c:v>
                </c:pt>
                <c:pt idx="14">
                  <c:v>2.7258064516129035</c:v>
                </c:pt>
                <c:pt idx="15">
                  <c:v>2.935483870967742</c:v>
                </c:pt>
                <c:pt idx="16">
                  <c:v>3.145161290322581</c:v>
                </c:pt>
                <c:pt idx="17">
                  <c:v>3.354838709677419</c:v>
                </c:pt>
                <c:pt idx="18">
                  <c:v>3.564516129032258</c:v>
                </c:pt>
                <c:pt idx="19" formatCode="General">
                  <c:v>3.774193548387097</c:v>
                </c:pt>
                <c:pt idx="20" formatCode="General">
                  <c:v>3.9838709677419355</c:v>
                </c:pt>
                <c:pt idx="21" formatCode="General">
                  <c:v>4.193548387096774</c:v>
                </c:pt>
                <c:pt idx="22" formatCode="General">
                  <c:v>4.403225806451613</c:v>
                </c:pt>
                <c:pt idx="23" formatCode="General">
                  <c:v>4.612903225806452</c:v>
                </c:pt>
                <c:pt idx="24" formatCode="General">
                  <c:v>4.82258064516129</c:v>
                </c:pt>
                <c:pt idx="25" formatCode="General">
                  <c:v>5.032258064516129</c:v>
                </c:pt>
                <c:pt idx="26" formatCode="General">
                  <c:v>5.2419354838709671</c:v>
                </c:pt>
                <c:pt idx="27" formatCode="General">
                  <c:v>5.4516129032258069</c:v>
                </c:pt>
                <c:pt idx="28" formatCode="General">
                  <c:v>5.661290322580645</c:v>
                </c:pt>
                <c:pt idx="29" formatCode="General">
                  <c:v>5.870967741935484</c:v>
                </c:pt>
                <c:pt idx="30" formatCode="General">
                  <c:v>6.0806451612903221</c:v>
                </c:pt>
                <c:pt idx="31" formatCode="General">
                  <c:v>6.2903225806451619</c:v>
                </c:pt>
                <c:pt idx="32" formatCode="General">
                  <c:v>6.5</c:v>
                </c:pt>
                <c:pt idx="33" formatCode="General">
                  <c:v>6.7096774193548381</c:v>
                </c:pt>
                <c:pt idx="34" formatCode="General">
                  <c:v>6.919354838709677</c:v>
                </c:pt>
                <c:pt idx="35" formatCode="General">
                  <c:v>7.129032258064516</c:v>
                </c:pt>
                <c:pt idx="36" formatCode="General">
                  <c:v>7.3387096774193559</c:v>
                </c:pt>
                <c:pt idx="37" formatCode="General">
                  <c:v>7.5483870967741939</c:v>
                </c:pt>
                <c:pt idx="38" formatCode="General">
                  <c:v>7.7580645161290329</c:v>
                </c:pt>
                <c:pt idx="39" formatCode="General">
                  <c:v>7.967741935483871</c:v>
                </c:pt>
                <c:pt idx="40" formatCode="General">
                  <c:v>8.17741935483871</c:v>
                </c:pt>
                <c:pt idx="41" formatCode="General">
                  <c:v>8.387096774193548</c:v>
                </c:pt>
                <c:pt idx="42" formatCode="General">
                  <c:v>8.5967741935483861</c:v>
                </c:pt>
                <c:pt idx="43" formatCode="General">
                  <c:v>8.806451612903226</c:v>
                </c:pt>
                <c:pt idx="44" formatCode="General">
                  <c:v>9.0161290322580658</c:v>
                </c:pt>
                <c:pt idx="45" formatCode="General">
                  <c:v>9.2258064516129039</c:v>
                </c:pt>
                <c:pt idx="46" formatCode="General">
                  <c:v>9.435483870967742</c:v>
                </c:pt>
                <c:pt idx="47" formatCode="General">
                  <c:v>9.6451612903225801</c:v>
                </c:pt>
                <c:pt idx="48" formatCode="General">
                  <c:v>9.8548387096774199</c:v>
                </c:pt>
                <c:pt idx="49" formatCode="General">
                  <c:v>10.064516129032258</c:v>
                </c:pt>
                <c:pt idx="50" formatCode="General">
                  <c:v>10.274193548387096</c:v>
                </c:pt>
                <c:pt idx="51" formatCode="General">
                  <c:v>10.483870967741934</c:v>
                </c:pt>
                <c:pt idx="52" formatCode="General">
                  <c:v>10.693548387096774</c:v>
                </c:pt>
                <c:pt idx="53" formatCode="General">
                  <c:v>10.903225806451614</c:v>
                </c:pt>
                <c:pt idx="54" formatCode="General">
                  <c:v>11.112903225806452</c:v>
                </c:pt>
                <c:pt idx="55" formatCode="General">
                  <c:v>11.32258064516129</c:v>
                </c:pt>
                <c:pt idx="56" formatCode="General">
                  <c:v>11.532258064516128</c:v>
                </c:pt>
                <c:pt idx="57" formatCode="General">
                  <c:v>11.741935483870968</c:v>
                </c:pt>
                <c:pt idx="58" formatCode="General">
                  <c:v>11.951612903225806</c:v>
                </c:pt>
                <c:pt idx="59" formatCode="General">
                  <c:v>12.161290322580644</c:v>
                </c:pt>
                <c:pt idx="60" formatCode="General">
                  <c:v>12.370967741935484</c:v>
                </c:pt>
                <c:pt idx="61" formatCode="General">
                  <c:v>12.580645161290324</c:v>
                </c:pt>
                <c:pt idx="62" formatCode="General">
                  <c:v>12.790322580645162</c:v>
                </c:pt>
                <c:pt idx="63" formatCode="General">
                  <c:v>13</c:v>
                </c:pt>
              </c:numCache>
            </c:numRef>
          </c:xVal>
          <c:yVal>
            <c:numRef>
              <c:f>Nosecone_Data!$C$2:$C$65</c:f>
              <c:numCache>
                <c:formatCode>General</c:formatCode>
                <c:ptCount val="64"/>
                <c:pt idx="0">
                  <c:v>0</c:v>
                </c:pt>
                <c:pt idx="1">
                  <c:v>-2.09</c:v>
                </c:pt>
                <c:pt idx="2">
                  <c:v>-2.0894562955254941</c:v>
                </c:pt>
                <c:pt idx="3">
                  <c:v>-2.0878251821019771</c:v>
                </c:pt>
                <c:pt idx="4">
                  <c:v>-2.0851066597294485</c:v>
                </c:pt>
                <c:pt idx="5">
                  <c:v>-2.0813007284079084</c:v>
                </c:pt>
                <c:pt idx="6">
                  <c:v>-2.0764073881373566</c:v>
                </c:pt>
                <c:pt idx="7">
                  <c:v>-2.0704266389177937</c:v>
                </c:pt>
                <c:pt idx="8">
                  <c:v>-2.0633584807492196</c:v>
                </c:pt>
                <c:pt idx="9">
                  <c:v>-2.0552029136316334</c:v>
                </c:pt>
                <c:pt idx="10">
                  <c:v>-2.0459599375650361</c:v>
                </c:pt>
                <c:pt idx="11">
                  <c:v>-2.0356295525494277</c:v>
                </c:pt>
                <c:pt idx="12">
                  <c:v>-2.0242117585848072</c:v>
                </c:pt>
                <c:pt idx="13">
                  <c:v>-2.0117065556711755</c:v>
                </c:pt>
                <c:pt idx="14">
                  <c:v>-1.9981139438085327</c:v>
                </c:pt>
                <c:pt idx="15">
                  <c:v>-1.983433922996878</c:v>
                </c:pt>
                <c:pt idx="16">
                  <c:v>-1.967666493236212</c:v>
                </c:pt>
                <c:pt idx="17">
                  <c:v>-1.9508116545265348</c:v>
                </c:pt>
                <c:pt idx="18">
                  <c:v>-1.9328694068678458</c:v>
                </c:pt>
                <c:pt idx="19">
                  <c:v>-1.9138397502601456</c:v>
                </c:pt>
                <c:pt idx="20">
                  <c:v>-1.8937226847034339</c:v>
                </c:pt>
                <c:pt idx="21">
                  <c:v>-1.8725182101977107</c:v>
                </c:pt>
                <c:pt idx="22">
                  <c:v>-1.8502263267429759</c:v>
                </c:pt>
                <c:pt idx="23">
                  <c:v>-1.8268470343392298</c:v>
                </c:pt>
                <c:pt idx="24">
                  <c:v>-1.8023803329864723</c:v>
                </c:pt>
                <c:pt idx="25">
                  <c:v>-1.7768262226847034</c:v>
                </c:pt>
                <c:pt idx="26">
                  <c:v>-1.7501847034339229</c:v>
                </c:pt>
                <c:pt idx="27">
                  <c:v>-1.722455775234131</c:v>
                </c:pt>
                <c:pt idx="28">
                  <c:v>-1.6936394380853277</c:v>
                </c:pt>
                <c:pt idx="29">
                  <c:v>-1.663735691987513</c:v>
                </c:pt>
                <c:pt idx="30">
                  <c:v>-1.6327445369406868</c:v>
                </c:pt>
                <c:pt idx="31">
                  <c:v>-1.6006659729448489</c:v>
                </c:pt>
                <c:pt idx="32">
                  <c:v>-1.5674999999999999</c:v>
                </c:pt>
                <c:pt idx="33">
                  <c:v>-1.5332466181061395</c:v>
                </c:pt>
                <c:pt idx="34">
                  <c:v>-1.4979058272632675</c:v>
                </c:pt>
                <c:pt idx="35">
                  <c:v>-1.4614776274713839</c:v>
                </c:pt>
                <c:pt idx="36">
                  <c:v>-1.4239620187304889</c:v>
                </c:pt>
                <c:pt idx="37">
                  <c:v>-1.3853590010405825</c:v>
                </c:pt>
                <c:pt idx="38">
                  <c:v>-1.3456685744016648</c:v>
                </c:pt>
                <c:pt idx="39">
                  <c:v>-1.3048907388137356</c:v>
                </c:pt>
                <c:pt idx="40">
                  <c:v>-1.2630254942767949</c:v>
                </c:pt>
                <c:pt idx="41">
                  <c:v>-1.2200728407908428</c:v>
                </c:pt>
                <c:pt idx="42">
                  <c:v>-1.1760327783558793</c:v>
                </c:pt>
                <c:pt idx="43">
                  <c:v>-1.1309053069719039</c:v>
                </c:pt>
                <c:pt idx="44">
                  <c:v>-1.0846904266389175</c:v>
                </c:pt>
                <c:pt idx="45">
                  <c:v>-1.0373881373569196</c:v>
                </c:pt>
                <c:pt idx="46">
                  <c:v>-0.98899843912591034</c:v>
                </c:pt>
                <c:pt idx="47">
                  <c:v>-0.93952133194588949</c:v>
                </c:pt>
                <c:pt idx="48">
                  <c:v>-0.88895681581685737</c:v>
                </c:pt>
                <c:pt idx="49">
                  <c:v>-0.83730489073881376</c:v>
                </c:pt>
                <c:pt idx="50">
                  <c:v>-0.78456555671175854</c:v>
                </c:pt>
                <c:pt idx="51">
                  <c:v>-0.73073881373569216</c:v>
                </c:pt>
                <c:pt idx="52">
                  <c:v>-0.67582466181061396</c:v>
                </c:pt>
                <c:pt idx="53">
                  <c:v>-0.61982310093652426</c:v>
                </c:pt>
                <c:pt idx="54">
                  <c:v>-0.56273413111342352</c:v>
                </c:pt>
                <c:pt idx="55">
                  <c:v>-0.50455775234131117</c:v>
                </c:pt>
                <c:pt idx="56">
                  <c:v>-0.44529396462018772</c:v>
                </c:pt>
                <c:pt idx="57">
                  <c:v>-0.38494276795005217</c:v>
                </c:pt>
                <c:pt idx="58">
                  <c:v>-0.32350416233090551</c:v>
                </c:pt>
                <c:pt idx="59">
                  <c:v>-0.26097814776274741</c:v>
                </c:pt>
                <c:pt idx="60">
                  <c:v>-0.1973647242455773</c:v>
                </c:pt>
                <c:pt idx="61">
                  <c:v>-0.13266389177939578</c:v>
                </c:pt>
                <c:pt idx="62">
                  <c:v>-6.6875650364203815E-2</c:v>
                </c:pt>
                <c:pt idx="63">
                  <c:v>0</c:v>
                </c:pt>
              </c:numCache>
            </c:numRef>
          </c:yVal>
          <c:smooth val="1"/>
        </c:ser>
        <c:ser>
          <c:idx val="0"/>
          <c:order val="2"/>
          <c:tx>
            <c:v>COP</c:v>
          </c:tx>
          <c:marker>
            <c:symbol val="none"/>
          </c:marker>
          <c:xVal>
            <c:numRef>
              <c:f>Nosecone_Data!$E$3</c:f>
              <c:numCache>
                <c:formatCode>General</c:formatCode>
                <c:ptCount val="1"/>
                <c:pt idx="0">
                  <c:v>6.0580000000000007</c:v>
                </c:pt>
              </c:numCache>
            </c:numRef>
          </c:xVal>
          <c:yVal>
            <c:numRef>
              <c:f>Nosecone_Data!$F$3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33352"/>
        <c:axId val="473037272"/>
      </c:scatterChart>
      <c:valAx>
        <c:axId val="473033352"/>
        <c:scaling>
          <c:orientation val="minMax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(X)</a:t>
                </a:r>
              </a:p>
            </c:rich>
          </c:tx>
          <c:layout>
            <c:manualLayout>
              <c:xMode val="edge"/>
              <c:yMode val="edge"/>
              <c:x val="0.39713809287134955"/>
              <c:y val="0.93653594732923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37272"/>
        <c:crosses val="autoZero"/>
        <c:crossBetween val="midCat"/>
      </c:valAx>
      <c:valAx>
        <c:axId val="473037272"/>
        <c:scaling>
          <c:orientation val="minMax"/>
          <c:max val="9"/>
          <c:min val="-9"/>
        </c:scaling>
        <c:delete val="0"/>
        <c:axPos val="r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(Y)</a:t>
                </a:r>
              </a:p>
            </c:rich>
          </c:tx>
          <c:layout>
            <c:manualLayout>
              <c:xMode val="edge"/>
              <c:yMode val="edge"/>
              <c:x val="0.93202228101789697"/>
              <c:y val="0.47684431017862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3335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114300</xdr:rowOff>
    </xdr:from>
    <xdr:to>
      <xdr:col>15</xdr:col>
      <xdr:colOff>600075</xdr:colOff>
      <xdr:row>30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osecon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cket"/>
      <sheetName val="Instructions"/>
      <sheetName val="EQUATIONS"/>
      <sheetName val="OGIVE"/>
      <sheetName val="POWER"/>
      <sheetName val="ELLIPSE"/>
      <sheetName val="HAACK"/>
    </sheetNames>
    <sheetDataSet>
      <sheetData sheetId="0"/>
      <sheetData sheetId="1"/>
      <sheetData sheetId="2"/>
      <sheetData sheetId="3">
        <row r="9">
          <cell r="B9" t="str">
            <v>Y</v>
          </cell>
          <cell r="C9" t="str">
            <v>negative Y</v>
          </cell>
        </row>
        <row r="10">
          <cell r="A10">
            <v>-3</v>
          </cell>
          <cell r="B10">
            <v>0</v>
          </cell>
          <cell r="C10">
            <v>0</v>
          </cell>
        </row>
        <row r="11">
          <cell r="A11">
            <v>-3</v>
          </cell>
          <cell r="B11">
            <v>1.9499999999999997</v>
          </cell>
          <cell r="C11">
            <v>-1.9499999999999997</v>
          </cell>
        </row>
        <row r="12">
          <cell r="A12">
            <v>-3</v>
          </cell>
          <cell r="B12">
            <v>1.9499999999999997</v>
          </cell>
          <cell r="C12">
            <v>-1.9499999999999997</v>
          </cell>
        </row>
        <row r="13">
          <cell r="A13">
            <v>0</v>
          </cell>
          <cell r="B13">
            <v>1.9499999999999997</v>
          </cell>
          <cell r="C13">
            <v>-1.9499999999999997</v>
          </cell>
        </row>
        <row r="14">
          <cell r="A14">
            <v>0</v>
          </cell>
          <cell r="B14">
            <v>2.0900000000000003</v>
          </cell>
          <cell r="C14">
            <v>-2.0900000000000003</v>
          </cell>
        </row>
        <row r="15">
          <cell r="A15">
            <v>0.26</v>
          </cell>
          <cell r="B15">
            <v>2.0791972060535504</v>
          </cell>
          <cell r="C15">
            <v>-2.0791972060535504</v>
          </cell>
        </row>
        <row r="16">
          <cell r="A16">
            <v>0.52</v>
          </cell>
          <cell r="B16">
            <v>2.0671292200232827</v>
          </cell>
          <cell r="C16">
            <v>-2.0671292200232827</v>
          </cell>
        </row>
        <row r="17">
          <cell r="A17">
            <v>0.78</v>
          </cell>
          <cell r="B17">
            <v>2.0537960419091967</v>
          </cell>
          <cell r="C17">
            <v>-2.0537960419091967</v>
          </cell>
        </row>
        <row r="18">
          <cell r="A18">
            <v>1.04</v>
          </cell>
          <cell r="B18">
            <v>2.0391976717112921</v>
          </cell>
          <cell r="C18">
            <v>-2.0391976717112921</v>
          </cell>
        </row>
        <row r="19">
          <cell r="A19">
            <v>1.3</v>
          </cell>
          <cell r="B19">
            <v>2.0233341094295691</v>
          </cell>
          <cell r="C19">
            <v>-2.0233341094295691</v>
          </cell>
        </row>
        <row r="20">
          <cell r="A20">
            <v>1.56</v>
          </cell>
          <cell r="B20">
            <v>2.006205355064028</v>
          </cell>
          <cell r="C20">
            <v>-2.006205355064028</v>
          </cell>
        </row>
        <row r="21">
          <cell r="A21">
            <v>1.82</v>
          </cell>
          <cell r="B21">
            <v>1.9878114086146681</v>
          </cell>
          <cell r="C21">
            <v>-1.9878114086146681</v>
          </cell>
        </row>
        <row r="22">
          <cell r="A22">
            <v>2.08</v>
          </cell>
          <cell r="B22">
            <v>1.96815227008149</v>
          </cell>
          <cell r="C22">
            <v>-1.96815227008149</v>
          </cell>
        </row>
        <row r="23">
          <cell r="A23">
            <v>2.34</v>
          </cell>
          <cell r="B23">
            <v>1.9472279394644934</v>
          </cell>
          <cell r="C23">
            <v>-1.9472279394644934</v>
          </cell>
        </row>
        <row r="24">
          <cell r="A24">
            <v>2.5999999999999996</v>
          </cell>
          <cell r="B24">
            <v>1.9250384167636785</v>
          </cell>
          <cell r="C24">
            <v>-1.9250384167636785</v>
          </cell>
        </row>
        <row r="25">
          <cell r="A25">
            <v>2.8599999999999994</v>
          </cell>
          <cell r="B25">
            <v>1.9015837019790454</v>
          </cell>
          <cell r="C25">
            <v>-1.9015837019790454</v>
          </cell>
        </row>
        <row r="26">
          <cell r="A26">
            <v>3.1199999999999992</v>
          </cell>
          <cell r="B26">
            <v>1.8768637951105935</v>
          </cell>
          <cell r="C26">
            <v>-1.8768637951105935</v>
          </cell>
        </row>
        <row r="27">
          <cell r="A27">
            <v>3.379999999999999</v>
          </cell>
          <cell r="B27">
            <v>1.8508786961583237</v>
          </cell>
          <cell r="C27">
            <v>-1.8508786961583237</v>
          </cell>
        </row>
        <row r="28">
          <cell r="A28">
            <v>3.6399999999999988</v>
          </cell>
          <cell r="B28">
            <v>1.8236284051222351</v>
          </cell>
          <cell r="C28">
            <v>-1.8236284051222351</v>
          </cell>
        </row>
        <row r="29">
          <cell r="A29">
            <v>3.8999999999999986</v>
          </cell>
          <cell r="B29">
            <v>1.7951129220023283</v>
          </cell>
          <cell r="C29">
            <v>-1.7951129220023283</v>
          </cell>
        </row>
        <row r="30">
          <cell r="A30">
            <v>4.1599999999999984</v>
          </cell>
          <cell r="B30">
            <v>1.7653322467986032</v>
          </cell>
          <cell r="C30">
            <v>-1.7653322467986032</v>
          </cell>
        </row>
        <row r="31">
          <cell r="A31">
            <v>4.4199999999999982</v>
          </cell>
          <cell r="B31">
            <v>1.7342863795110597</v>
          </cell>
          <cell r="C31">
            <v>-1.7342863795110597</v>
          </cell>
        </row>
        <row r="32">
          <cell r="A32">
            <v>4.6799999999999979</v>
          </cell>
          <cell r="B32">
            <v>1.7019753201396972</v>
          </cell>
          <cell r="C32">
            <v>-1.7019753201396972</v>
          </cell>
        </row>
        <row r="33">
          <cell r="A33">
            <v>4.9399999999999977</v>
          </cell>
          <cell r="B33">
            <v>1.6683990686845172</v>
          </cell>
          <cell r="C33">
            <v>-1.6683990686845172</v>
          </cell>
        </row>
        <row r="34">
          <cell r="A34">
            <v>5.1999999999999975</v>
          </cell>
          <cell r="B34">
            <v>1.6335576251455182</v>
          </cell>
          <cell r="C34">
            <v>-1.6335576251455182</v>
          </cell>
        </row>
        <row r="35">
          <cell r="A35">
            <v>5.4599999999999973</v>
          </cell>
          <cell r="B35">
            <v>1.5974509895227011</v>
          </cell>
          <cell r="C35">
            <v>-1.5974509895227011</v>
          </cell>
        </row>
        <row r="36">
          <cell r="A36">
            <v>5.7199999999999971</v>
          </cell>
          <cell r="B36">
            <v>1.5600791618160652</v>
          </cell>
          <cell r="C36">
            <v>-1.5600791618160652</v>
          </cell>
        </row>
        <row r="37">
          <cell r="A37">
            <v>5.9799999999999969</v>
          </cell>
          <cell r="B37">
            <v>1.5214421420256115</v>
          </cell>
          <cell r="C37">
            <v>-1.5214421420256115</v>
          </cell>
        </row>
        <row r="38">
          <cell r="A38">
            <v>6.2399999999999967</v>
          </cell>
          <cell r="B38">
            <v>1.4815399301513392</v>
          </cell>
          <cell r="C38">
            <v>-1.4815399301513392</v>
          </cell>
        </row>
        <row r="39">
          <cell r="A39">
            <v>6.4999999999999964</v>
          </cell>
          <cell r="B39">
            <v>1.4403725261932485</v>
          </cell>
          <cell r="C39">
            <v>-1.4403725261932485</v>
          </cell>
        </row>
        <row r="40">
          <cell r="A40">
            <v>6.7599999999999962</v>
          </cell>
          <cell r="B40">
            <v>1.3979399301513393</v>
          </cell>
          <cell r="C40">
            <v>-1.3979399301513393</v>
          </cell>
        </row>
        <row r="41">
          <cell r="A41">
            <v>7.019999999999996</v>
          </cell>
          <cell r="B41">
            <v>1.3542421420256119</v>
          </cell>
          <cell r="C41">
            <v>-1.3542421420256119</v>
          </cell>
        </row>
        <row r="42">
          <cell r="A42">
            <v>7.2799999999999958</v>
          </cell>
          <cell r="B42">
            <v>1.3092791618160657</v>
          </cell>
          <cell r="C42">
            <v>-1.3092791618160657</v>
          </cell>
        </row>
        <row r="43">
          <cell r="A43">
            <v>7.5399999999999956</v>
          </cell>
          <cell r="B43">
            <v>1.2630509895227018</v>
          </cell>
          <cell r="C43">
            <v>-1.2630509895227018</v>
          </cell>
        </row>
        <row r="44">
          <cell r="A44">
            <v>7.7999999999999954</v>
          </cell>
          <cell r="B44">
            <v>1.2155576251455189</v>
          </cell>
          <cell r="C44">
            <v>-1.2155576251455189</v>
          </cell>
        </row>
        <row r="45">
          <cell r="A45">
            <v>8.0599999999999952</v>
          </cell>
          <cell r="B45">
            <v>1.1667990686845175</v>
          </cell>
          <cell r="C45">
            <v>-1.1667990686845175</v>
          </cell>
        </row>
        <row r="46">
          <cell r="A46">
            <v>8.319999999999995</v>
          </cell>
          <cell r="B46">
            <v>1.1167753201396982</v>
          </cell>
          <cell r="C46">
            <v>-1.1167753201396982</v>
          </cell>
        </row>
        <row r="47">
          <cell r="A47">
            <v>8.5799999999999947</v>
          </cell>
          <cell r="B47">
            <v>1.0654863795110603</v>
          </cell>
          <cell r="C47">
            <v>-1.0654863795110603</v>
          </cell>
        </row>
        <row r="48">
          <cell r="A48">
            <v>8.8399999999999945</v>
          </cell>
          <cell r="B48">
            <v>1.0129322467986042</v>
          </cell>
          <cell r="C48">
            <v>-1.0129322467986042</v>
          </cell>
        </row>
        <row r="49">
          <cell r="A49">
            <v>9.0999999999999943</v>
          </cell>
          <cell r="B49">
            <v>0.95911292200232956</v>
          </cell>
          <cell r="C49">
            <v>-0.95911292200232956</v>
          </cell>
        </row>
        <row r="50">
          <cell r="A50">
            <v>9.3599999999999941</v>
          </cell>
          <cell r="B50">
            <v>0.90402840512223648</v>
          </cell>
          <cell r="C50">
            <v>-0.90402840512223648</v>
          </cell>
        </row>
        <row r="51">
          <cell r="A51">
            <v>9.6199999999999939</v>
          </cell>
          <cell r="B51">
            <v>0.84767869615832503</v>
          </cell>
          <cell r="C51">
            <v>-0.84767869615832503</v>
          </cell>
        </row>
        <row r="52">
          <cell r="A52">
            <v>9.8799999999999937</v>
          </cell>
          <cell r="B52">
            <v>0.79006379511059488</v>
          </cell>
          <cell r="C52">
            <v>-0.79006379511059488</v>
          </cell>
        </row>
        <row r="53">
          <cell r="A53">
            <v>10.139999999999993</v>
          </cell>
          <cell r="B53">
            <v>0.73118370197904692</v>
          </cell>
          <cell r="C53">
            <v>-0.73118370197904692</v>
          </cell>
        </row>
        <row r="54">
          <cell r="A54">
            <v>10.399999999999993</v>
          </cell>
          <cell r="B54">
            <v>0.67103841676368026</v>
          </cell>
          <cell r="C54">
            <v>-0.67103841676368026</v>
          </cell>
        </row>
        <row r="55">
          <cell r="A55">
            <v>10.659999999999993</v>
          </cell>
          <cell r="B55">
            <v>0.60962793946449501</v>
          </cell>
          <cell r="C55">
            <v>-0.60962793946449501</v>
          </cell>
        </row>
        <row r="56">
          <cell r="A56">
            <v>10.919999999999993</v>
          </cell>
          <cell r="B56">
            <v>0.54695227008149161</v>
          </cell>
          <cell r="C56">
            <v>-0.54695227008149161</v>
          </cell>
        </row>
        <row r="57">
          <cell r="A57">
            <v>11.179999999999993</v>
          </cell>
          <cell r="B57">
            <v>0.48301140861467023</v>
          </cell>
          <cell r="C57">
            <v>-0.48301140861467023</v>
          </cell>
        </row>
        <row r="58">
          <cell r="A58">
            <v>11.439999999999992</v>
          </cell>
          <cell r="B58">
            <v>0.41780535506402994</v>
          </cell>
          <cell r="C58">
            <v>-0.41780535506402994</v>
          </cell>
        </row>
        <row r="59">
          <cell r="A59">
            <v>11.699999999999992</v>
          </cell>
          <cell r="B59">
            <v>0.35133410942957144</v>
          </cell>
          <cell r="C59">
            <v>-0.35133410942957144</v>
          </cell>
        </row>
        <row r="60">
          <cell r="A60">
            <v>11.829999999999993</v>
          </cell>
          <cell r="B60">
            <v>0.31762403958090962</v>
          </cell>
          <cell r="C60">
            <v>-0.31762403958090962</v>
          </cell>
        </row>
        <row r="61">
          <cell r="A61">
            <v>11.959999999999994</v>
          </cell>
          <cell r="B61">
            <v>0.28359767171129391</v>
          </cell>
          <cell r="C61">
            <v>-0.28359767171129391</v>
          </cell>
        </row>
        <row r="62">
          <cell r="A62">
            <v>12.089999999999995</v>
          </cell>
          <cell r="B62">
            <v>0.24925500582072313</v>
          </cell>
          <cell r="C62">
            <v>-0.24925500582072313</v>
          </cell>
        </row>
        <row r="63">
          <cell r="A63">
            <v>12.219999999999995</v>
          </cell>
          <cell r="B63">
            <v>0.21459604190919795</v>
          </cell>
          <cell r="C63">
            <v>-0.21459604190919795</v>
          </cell>
        </row>
        <row r="64">
          <cell r="A64">
            <v>12.349999999999996</v>
          </cell>
          <cell r="B64">
            <v>0.17962077997671805</v>
          </cell>
          <cell r="C64">
            <v>-0.17962077997671805</v>
          </cell>
        </row>
        <row r="65">
          <cell r="A65">
            <v>12.479999999999997</v>
          </cell>
          <cell r="B65">
            <v>0.14432922002328369</v>
          </cell>
          <cell r="C65">
            <v>-0.14432922002328369</v>
          </cell>
        </row>
        <row r="66">
          <cell r="A66">
            <v>12.609999999999998</v>
          </cell>
          <cell r="B66">
            <v>0.1087213620488944</v>
          </cell>
          <cell r="C66">
            <v>-0.1087213620488944</v>
          </cell>
        </row>
        <row r="67">
          <cell r="A67">
            <v>12.739999999999998</v>
          </cell>
          <cell r="B67">
            <v>7.2797206053551139E-2</v>
          </cell>
          <cell r="C67">
            <v>-7.2797206053551139E-2</v>
          </cell>
        </row>
        <row r="68">
          <cell r="A68">
            <v>12.804999999999998</v>
          </cell>
          <cell r="B68">
            <v>5.471651629802133E-2</v>
          </cell>
          <cell r="C68">
            <v>-5.471651629802133E-2</v>
          </cell>
        </row>
        <row r="69">
          <cell r="A69">
            <v>12.869999999999997</v>
          </cell>
          <cell r="B69">
            <v>3.6556752037253629E-2</v>
          </cell>
          <cell r="C69">
            <v>-3.6556752037253629E-2</v>
          </cell>
        </row>
        <row r="70">
          <cell r="A70">
            <v>12.934999999999997</v>
          </cell>
          <cell r="B70">
            <v>1.8317913271246593E-2</v>
          </cell>
          <cell r="C70">
            <v>-1.8317913271246593E-2</v>
          </cell>
        </row>
        <row r="71">
          <cell r="A71">
            <v>12.999999999999996</v>
          </cell>
          <cell r="B71">
            <v>9.4629920448378871E-16</v>
          </cell>
          <cell r="C71">
            <v>-9.4629920448378871E-16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C6" sqref="C6"/>
    </sheetView>
  </sheetViews>
  <sheetFormatPr defaultColWidth="9.140625" defaultRowHeight="15" x14ac:dyDescent="0.25"/>
  <cols>
    <col min="1" max="1" width="3.14062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280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160</v>
      </c>
      <c r="D9" s="3" t="s">
        <v>3</v>
      </c>
    </row>
    <row r="10" spans="1:7" x14ac:dyDescent="0.25">
      <c r="B10" s="4" t="s">
        <v>64</v>
      </c>
      <c r="C10" s="25">
        <v>750</v>
      </c>
      <c r="D10" s="3" t="s">
        <v>3</v>
      </c>
    </row>
    <row r="11" spans="1:7" x14ac:dyDescent="0.25">
      <c r="B11" s="4" t="s">
        <v>65</v>
      </c>
      <c r="C11" s="25">
        <v>350</v>
      </c>
      <c r="D11" s="3" t="s">
        <v>3</v>
      </c>
    </row>
    <row r="12" spans="1:7" x14ac:dyDescent="0.25">
      <c r="B12" s="4" t="s">
        <v>66</v>
      </c>
      <c r="C12" s="25">
        <v>1260</v>
      </c>
      <c r="D12" s="3" t="s">
        <v>3</v>
      </c>
    </row>
    <row r="13" spans="1:7" x14ac:dyDescent="0.25">
      <c r="B13" s="4" t="s">
        <v>67</v>
      </c>
      <c r="C13" s="3">
        <v>508</v>
      </c>
      <c r="D13" s="3" t="s">
        <v>3</v>
      </c>
    </row>
    <row r="14" spans="1:7" x14ac:dyDescent="0.25">
      <c r="B14" s="4" t="s">
        <v>68</v>
      </c>
      <c r="C14" s="25">
        <v>100</v>
      </c>
      <c r="D14" s="3" t="s">
        <v>3</v>
      </c>
    </row>
    <row r="15" spans="1:7" x14ac:dyDescent="0.25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31" sqref="C31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95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2"/>
  <sheetViews>
    <sheetView tabSelected="1" zoomScale="70" zoomScaleNormal="70" workbookViewId="0">
      <selection activeCell="S17" sqref="S17"/>
    </sheetView>
  </sheetViews>
  <sheetFormatPr defaultRowHeight="15" x14ac:dyDescent="0.25"/>
  <cols>
    <col min="1" max="1" width="28.5703125" bestFit="1" customWidth="1"/>
    <col min="3" max="3" width="6.85546875" bestFit="1" customWidth="1"/>
    <col min="4" max="4" width="30.85546875" customWidth="1"/>
    <col min="5" max="5" width="11.7109375" bestFit="1" customWidth="1"/>
  </cols>
  <sheetData>
    <row r="1" spans="1:5" x14ac:dyDescent="0.25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25">
      <c r="A2" s="29" t="s">
        <v>73</v>
      </c>
      <c r="B2" s="29">
        <f>B7*B6</f>
        <v>3.8099999999999999E-4</v>
      </c>
      <c r="C2" s="29" t="s">
        <v>74</v>
      </c>
      <c r="D2" s="29" t="s">
        <v>112</v>
      </c>
      <c r="E2" s="26"/>
    </row>
    <row r="3" spans="1:5" x14ac:dyDescent="0.25">
      <c r="A3" s="29" t="s">
        <v>75</v>
      </c>
      <c r="B3" s="29">
        <f>B39</f>
        <v>3.2486600000000004E-2</v>
      </c>
      <c r="C3" s="29" t="s">
        <v>74</v>
      </c>
      <c r="D3" s="29" t="s">
        <v>112</v>
      </c>
      <c r="E3" s="26"/>
    </row>
    <row r="4" spans="1:5" x14ac:dyDescent="0.25">
      <c r="A4" s="29" t="s">
        <v>76</v>
      </c>
      <c r="B4" s="29">
        <f>B6</f>
        <v>3.0000000000000001E-3</v>
      </c>
      <c r="C4" s="29" t="s">
        <v>77</v>
      </c>
      <c r="D4" s="29" t="s">
        <v>113</v>
      </c>
      <c r="E4" s="26"/>
    </row>
    <row r="5" spans="1:5" x14ac:dyDescent="0.25">
      <c r="A5" s="29" t="s">
        <v>78</v>
      </c>
      <c r="B5" s="29">
        <f>PARAMETERS!C4</f>
        <v>3</v>
      </c>
      <c r="C5" s="29" t="s">
        <v>79</v>
      </c>
      <c r="D5" s="29"/>
      <c r="E5" s="26"/>
    </row>
    <row r="6" spans="1:5" x14ac:dyDescent="0.25">
      <c r="A6" s="29" t="s">
        <v>80</v>
      </c>
      <c r="B6" s="29">
        <f>0.003</f>
        <v>3.0000000000000001E-3</v>
      </c>
      <c r="C6" s="29" t="s">
        <v>77</v>
      </c>
      <c r="D6" s="29"/>
      <c r="E6" s="26"/>
    </row>
    <row r="7" spans="1:5" x14ac:dyDescent="0.25">
      <c r="A7" s="29" t="s">
        <v>82</v>
      </c>
      <c r="B7" s="29">
        <f>0.127</f>
        <v>0.127</v>
      </c>
      <c r="C7" s="29" t="s">
        <v>77</v>
      </c>
      <c r="D7" s="29"/>
      <c r="E7" s="26"/>
    </row>
    <row r="8" spans="1:5" x14ac:dyDescent="0.25">
      <c r="A8" s="29" t="s">
        <v>89</v>
      </c>
      <c r="B8" s="29">
        <f>ATAN(B7/B10)</f>
        <v>0.89653569193114302</v>
      </c>
      <c r="C8" s="29" t="s">
        <v>90</v>
      </c>
      <c r="D8" s="29"/>
      <c r="E8" s="26"/>
    </row>
    <row r="9" spans="1:5" x14ac:dyDescent="0.25">
      <c r="A9" s="29" t="s">
        <v>96</v>
      </c>
      <c r="B9" s="29">
        <f>(ATAN(B10/B7)+PI()/2)*(180/PI())</f>
        <v>128.63228866950456</v>
      </c>
      <c r="C9" s="29" t="s">
        <v>39</v>
      </c>
      <c r="D9" s="29" t="s">
        <v>97</v>
      </c>
      <c r="E9" s="26"/>
    </row>
    <row r="10" spans="1:5" x14ac:dyDescent="0.25">
      <c r="A10" s="29" t="s">
        <v>172</v>
      </c>
      <c r="B10" s="29">
        <v>0.10150000000000001</v>
      </c>
      <c r="C10" s="29" t="s">
        <v>77</v>
      </c>
      <c r="D10" s="29"/>
      <c r="E10" s="26"/>
    </row>
    <row r="11" spans="1:5" x14ac:dyDescent="0.25">
      <c r="A11" s="4" t="s">
        <v>133</v>
      </c>
      <c r="B11" s="4">
        <v>0.118004</v>
      </c>
      <c r="C11" s="4" t="s">
        <v>77</v>
      </c>
      <c r="D11" s="4" t="s">
        <v>138</v>
      </c>
      <c r="E11" s="26"/>
    </row>
    <row r="12" spans="1:5" x14ac:dyDescent="0.25">
      <c r="A12" s="29" t="s">
        <v>134</v>
      </c>
      <c r="B12" s="29">
        <v>0.35510000000000003</v>
      </c>
      <c r="C12" s="29" t="s">
        <v>77</v>
      </c>
      <c r="D12" s="29"/>
      <c r="E12" s="26"/>
    </row>
    <row r="13" spans="1:5" x14ac:dyDescent="0.25">
      <c r="A13" s="29" t="s">
        <v>135</v>
      </c>
      <c r="B13" s="29">
        <f>15.65/100</f>
        <v>0.1565</v>
      </c>
      <c r="C13" s="29" t="s">
        <v>77</v>
      </c>
      <c r="D13" s="29"/>
      <c r="E13" s="26"/>
    </row>
    <row r="14" spans="1:5" x14ac:dyDescent="0.25">
      <c r="A14" s="29" t="s">
        <v>149</v>
      </c>
      <c r="B14" s="29">
        <f>(B16/2)^2*PI()</f>
        <v>1.9359279329583704E-2</v>
      </c>
      <c r="C14" s="29" t="s">
        <v>74</v>
      </c>
      <c r="D14" s="29"/>
      <c r="E14" s="26"/>
    </row>
    <row r="15" spans="1:5" x14ac:dyDescent="0.25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25">
      <c r="A16" s="29" t="s">
        <v>83</v>
      </c>
      <c r="B16" s="29">
        <v>0.157</v>
      </c>
      <c r="C16" s="29" t="s">
        <v>77</v>
      </c>
      <c r="D16" s="29"/>
      <c r="E16" s="26"/>
    </row>
    <row r="17" spans="1:5" x14ac:dyDescent="0.25">
      <c r="A17" s="29" t="s">
        <v>84</v>
      </c>
      <c r="B17" s="30">
        <v>6.0000000000000002E-5</v>
      </c>
      <c r="C17" s="29" t="s">
        <v>77</v>
      </c>
      <c r="D17" s="29"/>
      <c r="E17" s="26"/>
    </row>
    <row r="18" spans="1:5" x14ac:dyDescent="0.25">
      <c r="A18" s="29" t="s">
        <v>85</v>
      </c>
      <c r="B18" s="29">
        <v>3.63</v>
      </c>
      <c r="C18" s="29" t="s">
        <v>77</v>
      </c>
      <c r="D18" s="29" t="s">
        <v>111</v>
      </c>
      <c r="E18" s="26"/>
    </row>
    <row r="19" spans="1:5" x14ac:dyDescent="0.25">
      <c r="A19" s="33" t="s">
        <v>99</v>
      </c>
      <c r="B19" s="33">
        <v>101325</v>
      </c>
      <c r="C19" s="33" t="s">
        <v>86</v>
      </c>
      <c r="D19" s="33">
        <v>101100</v>
      </c>
      <c r="E19" s="26"/>
    </row>
    <row r="20" spans="1:5" x14ac:dyDescent="0.25">
      <c r="A20" s="29" t="s">
        <v>100</v>
      </c>
      <c r="B20" s="29">
        <v>289.5</v>
      </c>
      <c r="C20" s="29" t="s">
        <v>114</v>
      </c>
      <c r="D20" s="29" t="s">
        <v>177</v>
      </c>
      <c r="E20" s="26"/>
    </row>
    <row r="21" spans="1:5" x14ac:dyDescent="0.25">
      <c r="A21" s="29" t="s">
        <v>87</v>
      </c>
      <c r="B21" s="29">
        <v>2.16</v>
      </c>
      <c r="C21" s="29" t="s">
        <v>77</v>
      </c>
      <c r="D21" s="29" t="s">
        <v>111</v>
      </c>
      <c r="E21" s="26"/>
    </row>
    <row r="22" spans="1:5" x14ac:dyDescent="0.25">
      <c r="A22" s="29" t="s">
        <v>88</v>
      </c>
      <c r="B22" s="29">
        <v>2.5299999999999998</v>
      </c>
      <c r="C22" s="29" t="s">
        <v>77</v>
      </c>
      <c r="D22" s="29" t="s">
        <v>111</v>
      </c>
      <c r="E22" s="26"/>
    </row>
    <row r="23" spans="1:5" x14ac:dyDescent="0.25">
      <c r="A23" s="29" t="s">
        <v>142</v>
      </c>
      <c r="B23" s="29">
        <f>D23*PI()/180</f>
        <v>8.7266462599716474E-2</v>
      </c>
      <c r="C23" s="29" t="s">
        <v>90</v>
      </c>
      <c r="D23" s="29">
        <f>5</f>
        <v>5</v>
      </c>
      <c r="E23" s="26" t="s">
        <v>39</v>
      </c>
    </row>
    <row r="24" spans="1:5" x14ac:dyDescent="0.25">
      <c r="A24" s="33" t="s">
        <v>91</v>
      </c>
      <c r="B24" s="33">
        <v>1.61E-2</v>
      </c>
      <c r="C24" s="33" t="s">
        <v>77</v>
      </c>
      <c r="D24" s="33" t="s">
        <v>150</v>
      </c>
      <c r="E24" s="26"/>
    </row>
    <row r="25" spans="1:5" x14ac:dyDescent="0.25">
      <c r="A25" s="33" t="s">
        <v>92</v>
      </c>
      <c r="B25" s="33">
        <v>0</v>
      </c>
      <c r="C25" s="33" t="s">
        <v>77</v>
      </c>
      <c r="D25" s="33"/>
      <c r="E25" s="26"/>
    </row>
    <row r="26" spans="1:5" x14ac:dyDescent="0.25">
      <c r="A26" s="29" t="s">
        <v>165</v>
      </c>
      <c r="B26" s="29">
        <v>3.05</v>
      </c>
      <c r="C26" s="29" t="s">
        <v>77</v>
      </c>
      <c r="D26" s="29"/>
      <c r="E26" s="26"/>
    </row>
    <row r="27" spans="1:5" x14ac:dyDescent="0.25">
      <c r="A27" s="29" t="s">
        <v>93</v>
      </c>
      <c r="B27" s="29">
        <v>28.635000000000002</v>
      </c>
      <c r="C27" s="29" t="s">
        <v>94</v>
      </c>
      <c r="D27" s="29" t="s">
        <v>146</v>
      </c>
      <c r="E27" s="26"/>
    </row>
    <row r="28" spans="1:5" x14ac:dyDescent="0.25">
      <c r="A28" s="29" t="s">
        <v>98</v>
      </c>
      <c r="B28" s="29">
        <v>405</v>
      </c>
      <c r="C28" s="29" t="s">
        <v>77</v>
      </c>
      <c r="D28" s="28" t="s">
        <v>176</v>
      </c>
      <c r="E28" s="26"/>
    </row>
    <row r="29" spans="1:5" x14ac:dyDescent="0.25">
      <c r="A29" s="29" t="s">
        <v>101</v>
      </c>
      <c r="B29" s="29">
        <v>0.78400000000000003</v>
      </c>
      <c r="C29" s="29" t="s">
        <v>77</v>
      </c>
      <c r="D29" s="29" t="s">
        <v>175</v>
      </c>
      <c r="E29" s="26"/>
    </row>
    <row r="30" spans="1:5" x14ac:dyDescent="0.25">
      <c r="A30" s="29" t="s">
        <v>102</v>
      </c>
      <c r="B30" s="29">
        <f>B43-B36</f>
        <v>13.380840000000006</v>
      </c>
      <c r="C30" s="29" t="s">
        <v>103</v>
      </c>
      <c r="D30" s="29"/>
      <c r="E30" s="26" t="s">
        <v>109</v>
      </c>
    </row>
    <row r="31" spans="1:5" x14ac:dyDescent="0.25">
      <c r="A31" s="29" t="s">
        <v>143</v>
      </c>
      <c r="B31" s="29">
        <f>B30/9.81</f>
        <v>1.3640000000000005</v>
      </c>
      <c r="C31" s="29" t="s">
        <v>109</v>
      </c>
      <c r="D31" s="29"/>
      <c r="E31" s="26"/>
    </row>
    <row r="32" spans="1:5" x14ac:dyDescent="0.25">
      <c r="A32" s="28" t="s">
        <v>104</v>
      </c>
      <c r="B32" s="28">
        <f>B30-B41</f>
        <v>0</v>
      </c>
      <c r="C32" s="28" t="s">
        <v>103</v>
      </c>
      <c r="D32" s="28">
        <f>B32/9.81</f>
        <v>0</v>
      </c>
      <c r="E32" s="26" t="s">
        <v>109</v>
      </c>
    </row>
    <row r="33" spans="1:5" x14ac:dyDescent="0.25">
      <c r="A33" s="29" t="s">
        <v>105</v>
      </c>
      <c r="B33" s="29">
        <f>(B30-B32)/B45/9.81</f>
        <v>0.41825095057034239</v>
      </c>
      <c r="C33" s="29" t="s">
        <v>106</v>
      </c>
      <c r="D33" s="29"/>
      <c r="E33" s="26">
        <f>B42/B45</f>
        <v>0.41825095057034223</v>
      </c>
    </row>
    <row r="34" spans="1:5" x14ac:dyDescent="0.25">
      <c r="A34" s="29" t="s">
        <v>121</v>
      </c>
      <c r="B34" s="29">
        <f>B42*9.81/B45</f>
        <v>4.1030418250950573</v>
      </c>
      <c r="C34" s="29" t="s">
        <v>123</v>
      </c>
      <c r="D34" s="29" t="s">
        <v>122</v>
      </c>
      <c r="E34" s="26"/>
    </row>
    <row r="35" spans="1:5" x14ac:dyDescent="0.25">
      <c r="A35" s="29" t="s">
        <v>107</v>
      </c>
      <c r="B35" s="29">
        <v>19.082000000000001</v>
      </c>
      <c r="C35" s="29" t="s">
        <v>109</v>
      </c>
      <c r="D35" s="29"/>
      <c r="E35" s="26">
        <f>(B43-B41)/9.81</f>
        <v>19.452999999999999</v>
      </c>
    </row>
    <row r="36" spans="1:5" x14ac:dyDescent="0.25">
      <c r="A36" s="29" t="s">
        <v>108</v>
      </c>
      <c r="B36" s="29">
        <f>B43-B41</f>
        <v>190.83393000000001</v>
      </c>
      <c r="C36" s="29" t="s">
        <v>103</v>
      </c>
      <c r="D36" s="29"/>
      <c r="E36" s="26">
        <f>(B43-B41)</f>
        <v>190.83393000000001</v>
      </c>
    </row>
    <row r="37" spans="1:5" x14ac:dyDescent="0.25">
      <c r="A37" s="29" t="s">
        <v>144</v>
      </c>
      <c r="B37" s="29">
        <v>2.0529000000000002</v>
      </c>
      <c r="C37" s="29" t="s">
        <v>77</v>
      </c>
      <c r="D37" s="29"/>
      <c r="E37" s="26"/>
    </row>
    <row r="38" spans="1:5" x14ac:dyDescent="0.25">
      <c r="A38" s="29" t="s">
        <v>147</v>
      </c>
      <c r="B38" s="29">
        <v>26.114000000000001</v>
      </c>
      <c r="C38" s="29" t="s">
        <v>94</v>
      </c>
      <c r="D38" s="29" t="s">
        <v>148</v>
      </c>
      <c r="E38" s="26"/>
    </row>
    <row r="39" spans="1:5" x14ac:dyDescent="0.25">
      <c r="A39" s="29" t="s">
        <v>110</v>
      </c>
      <c r="B39" s="29">
        <f>(B12+B13)/2*B7</f>
        <v>3.2486600000000004E-2</v>
      </c>
      <c r="C39" s="29" t="s">
        <v>74</v>
      </c>
      <c r="D39" s="29"/>
      <c r="E39" s="26"/>
    </row>
    <row r="40" spans="1:5" x14ac:dyDescent="0.25">
      <c r="A40" s="29" t="s">
        <v>110</v>
      </c>
      <c r="B40" s="4">
        <f>B15</f>
        <v>0.111</v>
      </c>
      <c r="C40" s="4" t="s">
        <v>74</v>
      </c>
      <c r="D40" s="4" t="s">
        <v>138</v>
      </c>
      <c r="E40" s="26"/>
    </row>
    <row r="41" spans="1:5" x14ac:dyDescent="0.25">
      <c r="A41" s="29" t="s">
        <v>115</v>
      </c>
      <c r="B41" s="29">
        <f>B42*9.81</f>
        <v>13.380840000000001</v>
      </c>
      <c r="C41" s="29" t="s">
        <v>103</v>
      </c>
      <c r="D41" s="29"/>
      <c r="E41" s="26"/>
    </row>
    <row r="42" spans="1:5" x14ac:dyDescent="0.25">
      <c r="A42" s="29" t="s">
        <v>117</v>
      </c>
      <c r="B42" s="29">
        <v>1.3640000000000001</v>
      </c>
      <c r="C42" s="29" t="s">
        <v>109</v>
      </c>
      <c r="D42" s="29"/>
      <c r="E42" s="26"/>
    </row>
    <row r="43" spans="1:5" x14ac:dyDescent="0.25">
      <c r="A43" s="29" t="s">
        <v>116</v>
      </c>
      <c r="B43" s="29">
        <f>B44*9.81</f>
        <v>204.21477000000002</v>
      </c>
      <c r="C43" s="29" t="s">
        <v>103</v>
      </c>
      <c r="D43" s="29">
        <f>B30+B36</f>
        <v>204.21477000000002</v>
      </c>
      <c r="E43" s="26"/>
    </row>
    <row r="44" spans="1:5" x14ac:dyDescent="0.25">
      <c r="A44" s="29" t="s">
        <v>118</v>
      </c>
      <c r="B44" s="29">
        <v>20.817</v>
      </c>
      <c r="C44" s="29" t="s">
        <v>109</v>
      </c>
      <c r="D44" s="29">
        <f>(B30+B36)/9.81</f>
        <v>20.817</v>
      </c>
      <c r="E44" s="26"/>
    </row>
    <row r="45" spans="1:5" x14ac:dyDescent="0.25">
      <c r="A45" s="29" t="s">
        <v>120</v>
      </c>
      <c r="B45" s="29">
        <v>3.2612000000000001</v>
      </c>
      <c r="C45" s="29" t="s">
        <v>119</v>
      </c>
      <c r="D45" s="29"/>
      <c r="E45" s="26"/>
    </row>
    <row r="46" spans="1:5" x14ac:dyDescent="0.25">
      <c r="A46" s="28" t="s">
        <v>128</v>
      </c>
      <c r="B46" s="28">
        <v>0.87</v>
      </c>
      <c r="C46" s="28"/>
      <c r="D46" s="28" t="s">
        <v>129</v>
      </c>
      <c r="E46" s="26"/>
    </row>
    <row r="47" spans="1:5" x14ac:dyDescent="0.25">
      <c r="A47" s="28" t="s">
        <v>127</v>
      </c>
      <c r="B47" s="28">
        <v>0.7</v>
      </c>
      <c r="C47" s="28"/>
      <c r="D47" s="28" t="s">
        <v>129</v>
      </c>
      <c r="E47" s="26"/>
    </row>
    <row r="48" spans="1:5" x14ac:dyDescent="0.25">
      <c r="A48" s="29" t="s">
        <v>124</v>
      </c>
      <c r="B48" s="29">
        <f>2*B7+B16</f>
        <v>0.41100000000000003</v>
      </c>
      <c r="C48" s="29" t="s">
        <v>77</v>
      </c>
      <c r="D48" s="28" t="s">
        <v>131</v>
      </c>
      <c r="E48" s="26"/>
    </row>
    <row r="49" spans="1:5" x14ac:dyDescent="0.25">
      <c r="A49" s="29" t="s">
        <v>125</v>
      </c>
      <c r="B49" s="29">
        <f>B39</f>
        <v>3.2486600000000004E-2</v>
      </c>
      <c r="C49" s="29" t="s">
        <v>74</v>
      </c>
      <c r="D49" s="29" t="s">
        <v>130</v>
      </c>
      <c r="E49" s="26"/>
    </row>
    <row r="50" spans="1:5" x14ac:dyDescent="0.25">
      <c r="A50" s="29" t="s">
        <v>126</v>
      </c>
      <c r="B50" s="29">
        <f>B49</f>
        <v>3.2486600000000004E-2</v>
      </c>
      <c r="C50" s="29" t="s">
        <v>74</v>
      </c>
      <c r="D50" s="29" t="s">
        <v>138</v>
      </c>
      <c r="E50" s="26"/>
    </row>
    <row r="51" spans="1:5" x14ac:dyDescent="0.25">
      <c r="A51" s="29" t="s">
        <v>151</v>
      </c>
      <c r="B51" s="29">
        <f>B49+0.5*B16*B12</f>
        <v>6.0361950000000011E-2</v>
      </c>
      <c r="C51" s="29" t="s">
        <v>74</v>
      </c>
      <c r="D51" s="29" t="s">
        <v>152</v>
      </c>
      <c r="E51" s="26"/>
    </row>
    <row r="52" spans="1:5" x14ac:dyDescent="0.25">
      <c r="A52" s="29" t="s">
        <v>132</v>
      </c>
      <c r="B52" s="29">
        <f>B18-B12</f>
        <v>3.2748999999999997</v>
      </c>
      <c r="C52" s="29" t="s">
        <v>77</v>
      </c>
      <c r="D52" s="29" t="s">
        <v>138</v>
      </c>
      <c r="E52" s="26"/>
    </row>
    <row r="53" spans="1:5" x14ac:dyDescent="0.25">
      <c r="A53" s="29" t="s">
        <v>153</v>
      </c>
      <c r="B53" s="29">
        <f>0.5*B10*2*COS(PI()/6)*B48 + B50*COS(PI()/6)*2</f>
        <v>9.2395990522140647E-2</v>
      </c>
      <c r="C53" s="29" t="s">
        <v>74</v>
      </c>
      <c r="D53" s="29" t="s">
        <v>154</v>
      </c>
      <c r="E53" s="26"/>
    </row>
    <row r="54" spans="1:5" x14ac:dyDescent="0.25">
      <c r="A54" s="4" t="s">
        <v>155</v>
      </c>
      <c r="B54" s="4">
        <v>6.9000000000000006E-2</v>
      </c>
      <c r="C54" s="4" t="s">
        <v>74</v>
      </c>
      <c r="D54" s="4"/>
      <c r="E54" s="26"/>
    </row>
    <row r="55" spans="1:5" x14ac:dyDescent="0.25">
      <c r="A55" s="29" t="s">
        <v>156</v>
      </c>
      <c r="B55" s="29">
        <f>(B52-B29)*B16</f>
        <v>0.39107130000000001</v>
      </c>
      <c r="C55" s="29" t="s">
        <v>74</v>
      </c>
      <c r="D55" s="29" t="s">
        <v>157</v>
      </c>
      <c r="E55" s="26"/>
    </row>
    <row r="56" spans="1:5" x14ac:dyDescent="0.25">
      <c r="A56" s="29" t="s">
        <v>136</v>
      </c>
      <c r="B56" s="29">
        <f>SUM(B53:B55)</f>
        <v>0.55246729052214061</v>
      </c>
      <c r="C56" s="29" t="s">
        <v>74</v>
      </c>
      <c r="D56" s="29" t="s">
        <v>138</v>
      </c>
      <c r="E56" s="26"/>
    </row>
    <row r="57" spans="1:5" x14ac:dyDescent="0.25">
      <c r="A57" s="33" t="s">
        <v>137</v>
      </c>
      <c r="B57" s="33">
        <v>2.5178129999999999</v>
      </c>
      <c r="C57" s="33" t="s">
        <v>77</v>
      </c>
      <c r="D57" s="33" t="s">
        <v>138</v>
      </c>
      <c r="E57" s="26"/>
    </row>
    <row r="58" spans="1:5" x14ac:dyDescent="0.25">
      <c r="A58" s="29" t="s">
        <v>139</v>
      </c>
      <c r="B58" s="29">
        <v>0.64900000000000002</v>
      </c>
      <c r="C58" s="29" t="s">
        <v>77</v>
      </c>
      <c r="D58" s="29"/>
      <c r="E58" s="26"/>
    </row>
    <row r="59" spans="1:5" x14ac:dyDescent="0.25">
      <c r="A59" s="29" t="s">
        <v>140</v>
      </c>
      <c r="B59" s="29">
        <f>B60+(B18-B58)</f>
        <v>3.3054999999999999</v>
      </c>
      <c r="C59" s="29" t="s">
        <v>77</v>
      </c>
      <c r="D59" s="29"/>
      <c r="E59" s="26"/>
    </row>
    <row r="60" spans="1:5" x14ac:dyDescent="0.25">
      <c r="A60" s="29" t="s">
        <v>145</v>
      </c>
      <c r="B60" s="29">
        <f>B58/2</f>
        <v>0.32450000000000001</v>
      </c>
      <c r="C60" s="29" t="s">
        <v>77</v>
      </c>
      <c r="D60" s="29" t="s">
        <v>141</v>
      </c>
      <c r="E60" s="26"/>
    </row>
    <row r="61" spans="1:5" x14ac:dyDescent="0.25">
      <c r="A61" s="29" t="s">
        <v>158</v>
      </c>
      <c r="B61" s="29">
        <f>(B52+(B18-B52)/2)</f>
        <v>3.4524499999999998</v>
      </c>
      <c r="C61" s="29"/>
      <c r="D61" s="28" t="s">
        <v>162</v>
      </c>
      <c r="E61" s="26"/>
    </row>
    <row r="62" spans="1:5" x14ac:dyDescent="0.25">
      <c r="A62" s="29" t="s">
        <v>159</v>
      </c>
      <c r="B62" s="29">
        <f>2/3*B29</f>
        <v>0.52266666666666661</v>
      </c>
      <c r="C62" s="29"/>
      <c r="D62" s="28" t="s">
        <v>161</v>
      </c>
      <c r="E62" s="26"/>
    </row>
    <row r="63" spans="1:5" x14ac:dyDescent="0.25">
      <c r="A63" s="29" t="s">
        <v>160</v>
      </c>
      <c r="B63" s="29">
        <f>(B52-B29)/2</f>
        <v>1.2454499999999999</v>
      </c>
      <c r="C63" s="29"/>
      <c r="D63" s="29"/>
      <c r="E63" s="26"/>
    </row>
    <row r="64" spans="1:5" x14ac:dyDescent="0.25">
      <c r="A64" s="29" t="s">
        <v>163</v>
      </c>
      <c r="B64" s="29">
        <f>(B61*B53+B62*B54+B63*B55)/B56</f>
        <v>1.5242826181931508</v>
      </c>
      <c r="C64" s="29"/>
      <c r="D64" s="29"/>
      <c r="E64" s="26"/>
    </row>
    <row r="65" spans="1:5" x14ac:dyDescent="0.25">
      <c r="A65" s="33" t="s">
        <v>164</v>
      </c>
      <c r="B65" s="33">
        <f>D65*PI()/180</f>
        <v>6.9813170079773182E-2</v>
      </c>
      <c r="C65" s="33" t="s">
        <v>90</v>
      </c>
      <c r="D65" s="33">
        <v>4</v>
      </c>
      <c r="E65" s="33" t="s">
        <v>170</v>
      </c>
    </row>
    <row r="66" spans="1:5" x14ac:dyDescent="0.25">
      <c r="A66" s="33" t="s">
        <v>166</v>
      </c>
      <c r="B66" s="33">
        <v>0.12</v>
      </c>
      <c r="C66" s="33" t="s">
        <v>119</v>
      </c>
      <c r="D66" s="33"/>
      <c r="E66" s="33"/>
    </row>
    <row r="67" spans="1:5" x14ac:dyDescent="0.25">
      <c r="A67" s="33" t="s">
        <v>167</v>
      </c>
      <c r="B67" s="33">
        <f>B65/1</f>
        <v>6.9813170079773182E-2</v>
      </c>
      <c r="C67" s="33"/>
      <c r="D67" s="33"/>
      <c r="E67" s="33"/>
    </row>
    <row r="68" spans="1:5" x14ac:dyDescent="0.25">
      <c r="A68" s="33" t="s">
        <v>168</v>
      </c>
      <c r="B68" s="33">
        <f>PI()/2</f>
        <v>1.5707963267948966</v>
      </c>
      <c r="C68" s="33"/>
      <c r="D68" s="33"/>
      <c r="E68" s="33"/>
    </row>
    <row r="69" spans="1:5" x14ac:dyDescent="0.25">
      <c r="A69" s="33" t="s">
        <v>169</v>
      </c>
      <c r="B69" s="33">
        <v>0.02</v>
      </c>
      <c r="C69" s="33"/>
      <c r="D69" s="33"/>
      <c r="E69" s="33"/>
    </row>
    <row r="70" spans="1:5" x14ac:dyDescent="0.25">
      <c r="A70" s="33" t="s">
        <v>171</v>
      </c>
      <c r="B70" s="33">
        <v>0.01</v>
      </c>
      <c r="C70" s="33"/>
      <c r="D70" s="33"/>
      <c r="E70" s="33"/>
    </row>
    <row r="71" spans="1:5" x14ac:dyDescent="0.25">
      <c r="A71" s="33" t="s">
        <v>173</v>
      </c>
      <c r="B71" s="33">
        <v>-1.5</v>
      </c>
      <c r="C71" s="33"/>
      <c r="D71" s="33" t="s">
        <v>174</v>
      </c>
      <c r="E71" s="33"/>
    </row>
    <row r="72" spans="1:5" x14ac:dyDescent="0.25">
      <c r="A72" s="32" t="s">
        <v>178</v>
      </c>
      <c r="B72" s="32">
        <v>1</v>
      </c>
      <c r="D72" t="s">
        <v>179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5"/>
  <sheetViews>
    <sheetView workbookViewId="0">
      <selection activeCell="E3" sqref="E3:F3"/>
    </sheetView>
  </sheetViews>
  <sheetFormatPr defaultRowHeight="15" x14ac:dyDescent="0.25"/>
  <sheetData>
    <row r="1" spans="1:6" x14ac:dyDescent="0.25">
      <c r="A1" s="34" t="s">
        <v>180</v>
      </c>
      <c r="B1" s="34" t="s">
        <v>181</v>
      </c>
      <c r="C1" s="35" t="s">
        <v>182</v>
      </c>
      <c r="E1" t="s">
        <v>183</v>
      </c>
    </row>
    <row r="2" spans="1:6" x14ac:dyDescent="0.25">
      <c r="A2" s="34">
        <v>0</v>
      </c>
      <c r="B2" s="34">
        <v>0</v>
      </c>
      <c r="C2" s="37">
        <v>0</v>
      </c>
      <c r="E2" t="s">
        <v>180</v>
      </c>
      <c r="F2" t="s">
        <v>181</v>
      </c>
    </row>
    <row r="3" spans="1:6" x14ac:dyDescent="0.25">
      <c r="A3" s="36">
        <v>0</v>
      </c>
      <c r="B3">
        <v>2.09</v>
      </c>
      <c r="C3">
        <v>-2.09</v>
      </c>
      <c r="E3">
        <v>6.0580000000000007</v>
      </c>
      <c r="F3">
        <v>0</v>
      </c>
    </row>
    <row r="4" spans="1:6" x14ac:dyDescent="0.25">
      <c r="A4" s="36">
        <v>0.20967741935483869</v>
      </c>
      <c r="B4">
        <v>2.0894562955254941</v>
      </c>
      <c r="C4">
        <v>-2.0894562955254941</v>
      </c>
    </row>
    <row r="5" spans="1:6" x14ac:dyDescent="0.25">
      <c r="A5" s="36">
        <v>0.41935483870967738</v>
      </c>
      <c r="B5">
        <v>2.0878251821019771</v>
      </c>
      <c r="C5">
        <v>-2.0878251821019771</v>
      </c>
    </row>
    <row r="6" spans="1:6" x14ac:dyDescent="0.25">
      <c r="A6" s="36">
        <v>0.62903225806451613</v>
      </c>
      <c r="B6">
        <v>2.0851066597294485</v>
      </c>
      <c r="C6">
        <v>-2.0851066597294485</v>
      </c>
    </row>
    <row r="7" spans="1:6" x14ac:dyDescent="0.25">
      <c r="A7" s="36">
        <v>0.83870967741935476</v>
      </c>
      <c r="B7">
        <v>2.0813007284079084</v>
      </c>
      <c r="C7">
        <v>-2.0813007284079084</v>
      </c>
    </row>
    <row r="8" spans="1:6" x14ac:dyDescent="0.25">
      <c r="A8" s="36">
        <v>1.0483870967741935</v>
      </c>
      <c r="B8">
        <v>2.0764073881373566</v>
      </c>
      <c r="C8">
        <v>-2.0764073881373566</v>
      </c>
    </row>
    <row r="9" spans="1:6" x14ac:dyDescent="0.25">
      <c r="A9" s="36">
        <v>1.2580645161290323</v>
      </c>
      <c r="B9">
        <v>2.0704266389177937</v>
      </c>
      <c r="C9">
        <v>-2.0704266389177937</v>
      </c>
    </row>
    <row r="10" spans="1:6" x14ac:dyDescent="0.25">
      <c r="A10" s="36">
        <v>1.467741935483871</v>
      </c>
      <c r="B10">
        <v>2.0633584807492196</v>
      </c>
      <c r="C10">
        <v>-2.0633584807492196</v>
      </c>
    </row>
    <row r="11" spans="1:6" x14ac:dyDescent="0.25">
      <c r="A11" s="36">
        <v>1.6774193548387095</v>
      </c>
      <c r="B11">
        <v>2.0552029136316334</v>
      </c>
      <c r="C11">
        <v>-2.0552029136316334</v>
      </c>
    </row>
    <row r="12" spans="1:6" x14ac:dyDescent="0.25">
      <c r="A12" s="36">
        <v>1.8870967741935485</v>
      </c>
      <c r="B12">
        <v>2.0459599375650361</v>
      </c>
      <c r="C12">
        <v>-2.0459599375650361</v>
      </c>
    </row>
    <row r="13" spans="1:6" x14ac:dyDescent="0.25">
      <c r="A13" s="36">
        <v>2.096774193548387</v>
      </c>
      <c r="B13">
        <v>2.0356295525494277</v>
      </c>
      <c r="C13">
        <v>-2.0356295525494277</v>
      </c>
    </row>
    <row r="14" spans="1:6" x14ac:dyDescent="0.25">
      <c r="A14" s="36">
        <v>2.306451612903226</v>
      </c>
      <c r="B14">
        <v>2.0242117585848072</v>
      </c>
      <c r="C14">
        <v>-2.0242117585848072</v>
      </c>
    </row>
    <row r="15" spans="1:6" x14ac:dyDescent="0.25">
      <c r="A15" s="36">
        <v>2.5161290322580645</v>
      </c>
      <c r="B15">
        <v>2.0117065556711755</v>
      </c>
      <c r="C15">
        <v>-2.0117065556711755</v>
      </c>
    </row>
    <row r="16" spans="1:6" x14ac:dyDescent="0.25">
      <c r="A16" s="36">
        <v>2.7258064516129035</v>
      </c>
      <c r="B16">
        <v>1.9981139438085327</v>
      </c>
      <c r="C16">
        <v>-1.9981139438085327</v>
      </c>
    </row>
    <row r="17" spans="1:3" x14ac:dyDescent="0.25">
      <c r="A17" s="36">
        <v>2.935483870967742</v>
      </c>
      <c r="B17">
        <v>1.983433922996878</v>
      </c>
      <c r="C17">
        <v>-1.983433922996878</v>
      </c>
    </row>
    <row r="18" spans="1:3" x14ac:dyDescent="0.25">
      <c r="A18" s="36">
        <v>3.145161290322581</v>
      </c>
      <c r="B18">
        <v>1.967666493236212</v>
      </c>
      <c r="C18">
        <v>-1.967666493236212</v>
      </c>
    </row>
    <row r="19" spans="1:3" x14ac:dyDescent="0.25">
      <c r="A19" s="36">
        <v>3.354838709677419</v>
      </c>
      <c r="B19">
        <v>1.9508116545265348</v>
      </c>
      <c r="C19">
        <v>-1.9508116545265348</v>
      </c>
    </row>
    <row r="20" spans="1:3" x14ac:dyDescent="0.25">
      <c r="A20" s="36">
        <v>3.564516129032258</v>
      </c>
      <c r="B20">
        <v>1.9328694068678458</v>
      </c>
      <c r="C20">
        <v>-1.9328694068678458</v>
      </c>
    </row>
    <row r="21" spans="1:3" x14ac:dyDescent="0.25">
      <c r="A21">
        <v>3.774193548387097</v>
      </c>
      <c r="B21">
        <v>1.9138397502601456</v>
      </c>
      <c r="C21">
        <v>-1.9138397502601456</v>
      </c>
    </row>
    <row r="22" spans="1:3" x14ac:dyDescent="0.25">
      <c r="A22">
        <v>3.9838709677419355</v>
      </c>
      <c r="B22">
        <v>1.8937226847034339</v>
      </c>
      <c r="C22">
        <v>-1.8937226847034339</v>
      </c>
    </row>
    <row r="23" spans="1:3" x14ac:dyDescent="0.25">
      <c r="A23">
        <v>4.193548387096774</v>
      </c>
      <c r="B23">
        <v>1.8725182101977107</v>
      </c>
      <c r="C23">
        <v>-1.8725182101977107</v>
      </c>
    </row>
    <row r="24" spans="1:3" x14ac:dyDescent="0.25">
      <c r="A24">
        <v>4.403225806451613</v>
      </c>
      <c r="B24">
        <v>1.8502263267429759</v>
      </c>
      <c r="C24">
        <v>-1.8502263267429759</v>
      </c>
    </row>
    <row r="25" spans="1:3" x14ac:dyDescent="0.25">
      <c r="A25">
        <v>4.612903225806452</v>
      </c>
      <c r="B25">
        <v>1.8268470343392298</v>
      </c>
      <c r="C25">
        <v>-1.8268470343392298</v>
      </c>
    </row>
    <row r="26" spans="1:3" x14ac:dyDescent="0.25">
      <c r="A26">
        <v>4.82258064516129</v>
      </c>
      <c r="B26">
        <v>1.8023803329864723</v>
      </c>
      <c r="C26">
        <v>-1.8023803329864723</v>
      </c>
    </row>
    <row r="27" spans="1:3" x14ac:dyDescent="0.25">
      <c r="A27">
        <v>5.032258064516129</v>
      </c>
      <c r="B27">
        <v>1.7768262226847034</v>
      </c>
      <c r="C27">
        <v>-1.7768262226847034</v>
      </c>
    </row>
    <row r="28" spans="1:3" x14ac:dyDescent="0.25">
      <c r="A28">
        <v>5.2419354838709671</v>
      </c>
      <c r="B28">
        <v>1.7501847034339229</v>
      </c>
      <c r="C28">
        <v>-1.7501847034339229</v>
      </c>
    </row>
    <row r="29" spans="1:3" x14ac:dyDescent="0.25">
      <c r="A29">
        <v>5.4516129032258069</v>
      </c>
      <c r="B29">
        <v>1.722455775234131</v>
      </c>
      <c r="C29">
        <v>-1.722455775234131</v>
      </c>
    </row>
    <row r="30" spans="1:3" x14ac:dyDescent="0.25">
      <c r="A30">
        <v>5.661290322580645</v>
      </c>
      <c r="B30">
        <v>1.6936394380853277</v>
      </c>
      <c r="C30">
        <v>-1.6936394380853277</v>
      </c>
    </row>
    <row r="31" spans="1:3" x14ac:dyDescent="0.25">
      <c r="A31">
        <v>5.870967741935484</v>
      </c>
      <c r="B31">
        <v>1.663735691987513</v>
      </c>
      <c r="C31">
        <v>-1.663735691987513</v>
      </c>
    </row>
    <row r="32" spans="1:3" x14ac:dyDescent="0.25">
      <c r="A32">
        <v>6.0806451612903221</v>
      </c>
      <c r="B32">
        <v>1.6327445369406868</v>
      </c>
      <c r="C32">
        <v>-1.6327445369406868</v>
      </c>
    </row>
    <row r="33" spans="1:3" x14ac:dyDescent="0.25">
      <c r="A33">
        <v>6.2903225806451619</v>
      </c>
      <c r="B33">
        <v>1.6006659729448489</v>
      </c>
      <c r="C33">
        <v>-1.6006659729448489</v>
      </c>
    </row>
    <row r="34" spans="1:3" x14ac:dyDescent="0.25">
      <c r="A34">
        <v>6.5</v>
      </c>
      <c r="B34">
        <v>1.5674999999999999</v>
      </c>
      <c r="C34">
        <v>-1.5674999999999999</v>
      </c>
    </row>
    <row r="35" spans="1:3" x14ac:dyDescent="0.25">
      <c r="A35">
        <v>6.7096774193548381</v>
      </c>
      <c r="B35">
        <v>1.5332466181061395</v>
      </c>
      <c r="C35">
        <v>-1.5332466181061395</v>
      </c>
    </row>
    <row r="36" spans="1:3" x14ac:dyDescent="0.25">
      <c r="A36">
        <v>6.919354838709677</v>
      </c>
      <c r="B36">
        <v>1.4979058272632675</v>
      </c>
      <c r="C36">
        <v>-1.4979058272632675</v>
      </c>
    </row>
    <row r="37" spans="1:3" x14ac:dyDescent="0.25">
      <c r="A37">
        <v>7.129032258064516</v>
      </c>
      <c r="B37">
        <v>1.4614776274713839</v>
      </c>
      <c r="C37">
        <v>-1.4614776274713839</v>
      </c>
    </row>
    <row r="38" spans="1:3" x14ac:dyDescent="0.25">
      <c r="A38">
        <v>7.3387096774193559</v>
      </c>
      <c r="B38">
        <v>1.4239620187304889</v>
      </c>
      <c r="C38">
        <v>-1.4239620187304889</v>
      </c>
    </row>
    <row r="39" spans="1:3" x14ac:dyDescent="0.25">
      <c r="A39">
        <v>7.5483870967741939</v>
      </c>
      <c r="B39">
        <v>1.3853590010405825</v>
      </c>
      <c r="C39">
        <v>-1.3853590010405825</v>
      </c>
    </row>
    <row r="40" spans="1:3" x14ac:dyDescent="0.25">
      <c r="A40">
        <v>7.7580645161290329</v>
      </c>
      <c r="B40">
        <v>1.3456685744016648</v>
      </c>
      <c r="C40">
        <v>-1.3456685744016648</v>
      </c>
    </row>
    <row r="41" spans="1:3" x14ac:dyDescent="0.25">
      <c r="A41">
        <v>7.967741935483871</v>
      </c>
      <c r="B41">
        <v>1.3048907388137356</v>
      </c>
      <c r="C41">
        <v>-1.3048907388137356</v>
      </c>
    </row>
    <row r="42" spans="1:3" x14ac:dyDescent="0.25">
      <c r="A42">
        <v>8.17741935483871</v>
      </c>
      <c r="B42">
        <v>1.2630254942767949</v>
      </c>
      <c r="C42">
        <v>-1.2630254942767949</v>
      </c>
    </row>
    <row r="43" spans="1:3" x14ac:dyDescent="0.25">
      <c r="A43">
        <v>8.387096774193548</v>
      </c>
      <c r="B43">
        <v>1.2200728407908428</v>
      </c>
      <c r="C43">
        <v>-1.2200728407908428</v>
      </c>
    </row>
    <row r="44" spans="1:3" x14ac:dyDescent="0.25">
      <c r="A44">
        <v>8.5967741935483861</v>
      </c>
      <c r="B44">
        <v>1.1760327783558793</v>
      </c>
      <c r="C44">
        <v>-1.1760327783558793</v>
      </c>
    </row>
    <row r="45" spans="1:3" x14ac:dyDescent="0.25">
      <c r="A45">
        <v>8.806451612903226</v>
      </c>
      <c r="B45">
        <v>1.1309053069719039</v>
      </c>
      <c r="C45">
        <v>-1.1309053069719039</v>
      </c>
    </row>
    <row r="46" spans="1:3" x14ac:dyDescent="0.25">
      <c r="A46">
        <v>9.0161290322580658</v>
      </c>
      <c r="B46">
        <v>1.0846904266389175</v>
      </c>
      <c r="C46">
        <v>-1.0846904266389175</v>
      </c>
    </row>
    <row r="47" spans="1:3" x14ac:dyDescent="0.25">
      <c r="A47">
        <v>9.2258064516129039</v>
      </c>
      <c r="B47">
        <v>1.0373881373569196</v>
      </c>
      <c r="C47">
        <v>-1.0373881373569196</v>
      </c>
    </row>
    <row r="48" spans="1:3" x14ac:dyDescent="0.25">
      <c r="A48">
        <v>9.435483870967742</v>
      </c>
      <c r="B48">
        <v>0.98899843912591034</v>
      </c>
      <c r="C48">
        <v>-0.98899843912591034</v>
      </c>
    </row>
    <row r="49" spans="1:3" x14ac:dyDescent="0.25">
      <c r="A49">
        <v>9.6451612903225801</v>
      </c>
      <c r="B49">
        <v>0.93952133194588949</v>
      </c>
      <c r="C49">
        <v>-0.93952133194588949</v>
      </c>
    </row>
    <row r="50" spans="1:3" x14ac:dyDescent="0.25">
      <c r="A50">
        <v>9.8548387096774199</v>
      </c>
      <c r="B50">
        <v>0.88895681581685737</v>
      </c>
      <c r="C50">
        <v>-0.88895681581685737</v>
      </c>
    </row>
    <row r="51" spans="1:3" x14ac:dyDescent="0.25">
      <c r="A51">
        <v>10.064516129032258</v>
      </c>
      <c r="B51">
        <v>0.83730489073881376</v>
      </c>
      <c r="C51">
        <v>-0.83730489073881376</v>
      </c>
    </row>
    <row r="52" spans="1:3" x14ac:dyDescent="0.25">
      <c r="A52">
        <v>10.274193548387096</v>
      </c>
      <c r="B52">
        <v>0.78456555671175854</v>
      </c>
      <c r="C52">
        <v>-0.78456555671175854</v>
      </c>
    </row>
    <row r="53" spans="1:3" x14ac:dyDescent="0.25">
      <c r="A53">
        <v>10.483870967741934</v>
      </c>
      <c r="B53">
        <v>0.73073881373569216</v>
      </c>
      <c r="C53">
        <v>-0.73073881373569216</v>
      </c>
    </row>
    <row r="54" spans="1:3" x14ac:dyDescent="0.25">
      <c r="A54">
        <v>10.693548387096774</v>
      </c>
      <c r="B54">
        <v>0.67582466181061396</v>
      </c>
      <c r="C54">
        <v>-0.67582466181061396</v>
      </c>
    </row>
    <row r="55" spans="1:3" x14ac:dyDescent="0.25">
      <c r="A55">
        <v>10.903225806451614</v>
      </c>
      <c r="B55">
        <v>0.61982310093652426</v>
      </c>
      <c r="C55">
        <v>-0.61982310093652426</v>
      </c>
    </row>
    <row r="56" spans="1:3" x14ac:dyDescent="0.25">
      <c r="A56">
        <v>11.112903225806452</v>
      </c>
      <c r="B56">
        <v>0.56273413111342352</v>
      </c>
      <c r="C56">
        <v>-0.56273413111342352</v>
      </c>
    </row>
    <row r="57" spans="1:3" x14ac:dyDescent="0.25">
      <c r="A57">
        <v>11.32258064516129</v>
      </c>
      <c r="B57">
        <v>0.50455775234131117</v>
      </c>
      <c r="C57">
        <v>-0.50455775234131117</v>
      </c>
    </row>
    <row r="58" spans="1:3" x14ac:dyDescent="0.25">
      <c r="A58">
        <v>11.532258064516128</v>
      </c>
      <c r="B58">
        <v>0.44529396462018772</v>
      </c>
      <c r="C58">
        <v>-0.44529396462018772</v>
      </c>
    </row>
    <row r="59" spans="1:3" x14ac:dyDescent="0.25">
      <c r="A59">
        <v>11.741935483870968</v>
      </c>
      <c r="B59">
        <v>0.38494276795005217</v>
      </c>
      <c r="C59">
        <v>-0.38494276795005217</v>
      </c>
    </row>
    <row r="60" spans="1:3" x14ac:dyDescent="0.25">
      <c r="A60">
        <v>11.951612903225806</v>
      </c>
      <c r="B60">
        <v>0.32350416233090551</v>
      </c>
      <c r="C60">
        <v>-0.32350416233090551</v>
      </c>
    </row>
    <row r="61" spans="1:3" x14ac:dyDescent="0.25">
      <c r="A61">
        <v>12.161290322580644</v>
      </c>
      <c r="B61">
        <v>0.26097814776274741</v>
      </c>
      <c r="C61">
        <v>-0.26097814776274741</v>
      </c>
    </row>
    <row r="62" spans="1:3" x14ac:dyDescent="0.25">
      <c r="A62">
        <v>12.370967741935484</v>
      </c>
      <c r="B62">
        <v>0.1973647242455773</v>
      </c>
      <c r="C62">
        <v>-0.1973647242455773</v>
      </c>
    </row>
    <row r="63" spans="1:3" x14ac:dyDescent="0.25">
      <c r="A63">
        <v>12.580645161290324</v>
      </c>
      <c r="B63">
        <v>0.13266389177939578</v>
      </c>
      <c r="C63">
        <v>-0.13266389177939578</v>
      </c>
    </row>
    <row r="64" spans="1:3" x14ac:dyDescent="0.25">
      <c r="A64">
        <v>12.790322580645162</v>
      </c>
      <c r="B64">
        <v>6.6875650364203815E-2</v>
      </c>
      <c r="C64">
        <v>-6.6875650364203815E-2</v>
      </c>
    </row>
    <row r="65" spans="1:3" x14ac:dyDescent="0.25">
      <c r="A65">
        <v>13</v>
      </c>
      <c r="B65">
        <v>0</v>
      </c>
      <c r="C6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3"/>
  <sheetViews>
    <sheetView workbookViewId="0">
      <selection activeCell="E26" sqref="E26"/>
    </sheetView>
  </sheetViews>
  <sheetFormatPr defaultColWidth="9.140625" defaultRowHeight="15" x14ac:dyDescent="0.25"/>
  <cols>
    <col min="1" max="1" width="3" style="1" customWidth="1"/>
    <col min="2" max="2" width="9.140625" style="1"/>
    <col min="3" max="3" width="12.28515625" style="20" customWidth="1"/>
    <col min="4" max="16384" width="9.140625" style="1"/>
  </cols>
  <sheetData>
    <row r="2" spans="2:5" x14ac:dyDescent="0.25">
      <c r="B2" s="31" t="s">
        <v>42</v>
      </c>
      <c r="C2" s="31"/>
      <c r="D2" s="31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31" t="s">
        <v>43</v>
      </c>
      <c r="C7" s="31"/>
      <c r="D7" s="31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31" t="s">
        <v>47</v>
      </c>
      <c r="C12" s="31"/>
      <c r="D12" s="31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A2" sqref="A2:E20"/>
    </sheetView>
  </sheetViews>
  <sheetFormatPr defaultRowHeight="15" x14ac:dyDescent="0.25"/>
  <cols>
    <col min="1" max="1" width="22.5703125" bestFit="1" customWidth="1"/>
    <col min="2" max="2" width="13.28515625" customWidth="1"/>
    <col min="4" max="4" width="10" bestFit="1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Sheet1</vt:lpstr>
      <vt:lpstr>Matlab_Data</vt:lpstr>
      <vt:lpstr>Nosecone_Data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Space</cp:lastModifiedBy>
  <dcterms:created xsi:type="dcterms:W3CDTF">2015-02-15T19:59:55Z</dcterms:created>
  <dcterms:modified xsi:type="dcterms:W3CDTF">2016-02-26T00:29:10Z</dcterms:modified>
</cp:coreProperties>
</file>